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f5e7ceff0f2763/Documents/Business/PeaceFrog Gaming/Applications/Band Hopper/ref data/"/>
    </mc:Choice>
  </mc:AlternateContent>
  <xr:revisionPtr revIDLastSave="0" documentId="8_{F333739D-AEB4-4BAF-9D1C-43B541434F40}" xr6:coauthVersionLast="47" xr6:coauthVersionMax="47" xr10:uidLastSave="{00000000-0000-0000-0000-000000000000}"/>
  <bookViews>
    <workbookView xWindow="38400" yWindow="5715" windowWidth="28800" windowHeight="15885" xr2:uid="{E12DAEF5-95D6-472C-891D-D6469350F8D5}"/>
  </bookViews>
  <sheets>
    <sheet name="Route Exists" sheetId="1" r:id="rId1"/>
    <sheet name="Band Jump Distances" sheetId="3" r:id="rId2"/>
    <sheet name="widest band crossing orde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3" l="1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2" i="3"/>
  <c r="X73" i="3"/>
  <c r="X74" i="3"/>
  <c r="X75" i="3"/>
  <c r="X76" i="3"/>
  <c r="X77" i="3"/>
  <c r="X78" i="3"/>
  <c r="X79" i="3"/>
  <c r="X80" i="3"/>
  <c r="X81" i="3"/>
  <c r="X82" i="3"/>
  <c r="X83" i="3"/>
  <c r="X2" i="3"/>
  <c r="O3" i="3"/>
  <c r="P3" i="3"/>
  <c r="Q3" i="3"/>
  <c r="R3" i="3"/>
  <c r="S3" i="3"/>
  <c r="T3" i="3"/>
  <c r="U3" i="3"/>
  <c r="V3" i="3"/>
  <c r="W3" i="3"/>
  <c r="O4" i="3"/>
  <c r="P4" i="3"/>
  <c r="Q4" i="3"/>
  <c r="R4" i="3"/>
  <c r="S4" i="3"/>
  <c r="T4" i="3"/>
  <c r="U4" i="3"/>
  <c r="V4" i="3"/>
  <c r="W4" i="3"/>
  <c r="O5" i="3"/>
  <c r="P5" i="3"/>
  <c r="Q5" i="3"/>
  <c r="R5" i="3"/>
  <c r="S5" i="3"/>
  <c r="T5" i="3"/>
  <c r="U5" i="3"/>
  <c r="V5" i="3"/>
  <c r="W5" i="3"/>
  <c r="O6" i="3"/>
  <c r="P6" i="3"/>
  <c r="Q6" i="3"/>
  <c r="R6" i="3"/>
  <c r="S6" i="3"/>
  <c r="T6" i="3"/>
  <c r="U6" i="3"/>
  <c r="V6" i="3"/>
  <c r="W6" i="3"/>
  <c r="O7" i="3"/>
  <c r="P7" i="3"/>
  <c r="Q7" i="3"/>
  <c r="R7" i="3"/>
  <c r="S7" i="3"/>
  <c r="T7" i="3"/>
  <c r="U7" i="3"/>
  <c r="V7" i="3"/>
  <c r="W7" i="3"/>
  <c r="O8" i="3"/>
  <c r="P8" i="3"/>
  <c r="Q8" i="3"/>
  <c r="R8" i="3"/>
  <c r="S8" i="3"/>
  <c r="T8" i="3"/>
  <c r="U8" i="3"/>
  <c r="V8" i="3"/>
  <c r="W8" i="3"/>
  <c r="O9" i="3"/>
  <c r="P9" i="3"/>
  <c r="Q9" i="3"/>
  <c r="R9" i="3"/>
  <c r="S9" i="3"/>
  <c r="T9" i="3"/>
  <c r="U9" i="3"/>
  <c r="V9" i="3"/>
  <c r="W9" i="3"/>
  <c r="O10" i="3"/>
  <c r="P10" i="3"/>
  <c r="Q10" i="3"/>
  <c r="R10" i="3"/>
  <c r="S10" i="3"/>
  <c r="T10" i="3"/>
  <c r="U10" i="3"/>
  <c r="V10" i="3"/>
  <c r="W10" i="3"/>
  <c r="O11" i="3"/>
  <c r="P11" i="3"/>
  <c r="Q11" i="3"/>
  <c r="R11" i="3"/>
  <c r="S11" i="3"/>
  <c r="T11" i="3"/>
  <c r="U11" i="3"/>
  <c r="V11" i="3"/>
  <c r="W11" i="3"/>
  <c r="O12" i="3"/>
  <c r="P12" i="3"/>
  <c r="Q12" i="3"/>
  <c r="R12" i="3"/>
  <c r="S12" i="3"/>
  <c r="T12" i="3"/>
  <c r="U12" i="3"/>
  <c r="V12" i="3"/>
  <c r="W12" i="3"/>
  <c r="O13" i="3"/>
  <c r="P13" i="3"/>
  <c r="Q13" i="3"/>
  <c r="R13" i="3"/>
  <c r="S13" i="3"/>
  <c r="T13" i="3"/>
  <c r="U13" i="3"/>
  <c r="V13" i="3"/>
  <c r="W13" i="3"/>
  <c r="O14" i="3"/>
  <c r="P14" i="3"/>
  <c r="Q14" i="3"/>
  <c r="R14" i="3"/>
  <c r="S14" i="3"/>
  <c r="T14" i="3"/>
  <c r="U14" i="3"/>
  <c r="V14" i="3"/>
  <c r="W14" i="3"/>
  <c r="O15" i="3"/>
  <c r="P15" i="3"/>
  <c r="Q15" i="3"/>
  <c r="R15" i="3"/>
  <c r="S15" i="3"/>
  <c r="T15" i="3"/>
  <c r="U15" i="3"/>
  <c r="V15" i="3"/>
  <c r="W15" i="3"/>
  <c r="O16" i="3"/>
  <c r="P16" i="3"/>
  <c r="Q16" i="3"/>
  <c r="R16" i="3"/>
  <c r="S16" i="3"/>
  <c r="T16" i="3"/>
  <c r="U16" i="3"/>
  <c r="V16" i="3"/>
  <c r="W16" i="3"/>
  <c r="O17" i="3"/>
  <c r="P17" i="3"/>
  <c r="Q17" i="3"/>
  <c r="R17" i="3"/>
  <c r="S17" i="3"/>
  <c r="T17" i="3"/>
  <c r="U17" i="3"/>
  <c r="V17" i="3"/>
  <c r="W17" i="3"/>
  <c r="O18" i="3"/>
  <c r="P18" i="3"/>
  <c r="Q18" i="3"/>
  <c r="R18" i="3"/>
  <c r="S18" i="3"/>
  <c r="T18" i="3"/>
  <c r="U18" i="3"/>
  <c r="V18" i="3"/>
  <c r="W18" i="3"/>
  <c r="O19" i="3"/>
  <c r="P19" i="3"/>
  <c r="Q19" i="3"/>
  <c r="R19" i="3"/>
  <c r="S19" i="3"/>
  <c r="T19" i="3"/>
  <c r="U19" i="3"/>
  <c r="V19" i="3"/>
  <c r="W19" i="3"/>
  <c r="O20" i="3"/>
  <c r="P20" i="3"/>
  <c r="Q20" i="3"/>
  <c r="R20" i="3"/>
  <c r="S20" i="3"/>
  <c r="T20" i="3"/>
  <c r="U20" i="3"/>
  <c r="V20" i="3"/>
  <c r="W20" i="3"/>
  <c r="O21" i="3"/>
  <c r="P21" i="3"/>
  <c r="Q21" i="3"/>
  <c r="R21" i="3"/>
  <c r="S21" i="3"/>
  <c r="T21" i="3"/>
  <c r="U21" i="3"/>
  <c r="V21" i="3"/>
  <c r="W21" i="3"/>
  <c r="O22" i="3"/>
  <c r="P22" i="3"/>
  <c r="Q22" i="3"/>
  <c r="R22" i="3"/>
  <c r="S22" i="3"/>
  <c r="T22" i="3"/>
  <c r="U22" i="3"/>
  <c r="V22" i="3"/>
  <c r="W22" i="3"/>
  <c r="O23" i="3"/>
  <c r="P23" i="3"/>
  <c r="Q23" i="3"/>
  <c r="R23" i="3"/>
  <c r="S23" i="3"/>
  <c r="T23" i="3"/>
  <c r="U23" i="3"/>
  <c r="V23" i="3"/>
  <c r="W23" i="3"/>
  <c r="O24" i="3"/>
  <c r="P24" i="3"/>
  <c r="Q24" i="3"/>
  <c r="R24" i="3"/>
  <c r="S24" i="3"/>
  <c r="T24" i="3"/>
  <c r="U24" i="3"/>
  <c r="V24" i="3"/>
  <c r="W24" i="3"/>
  <c r="O25" i="3"/>
  <c r="P25" i="3"/>
  <c r="Q25" i="3"/>
  <c r="R25" i="3"/>
  <c r="S25" i="3"/>
  <c r="T25" i="3"/>
  <c r="U25" i="3"/>
  <c r="V25" i="3"/>
  <c r="W25" i="3"/>
  <c r="O26" i="3"/>
  <c r="P26" i="3"/>
  <c r="Q26" i="3"/>
  <c r="R26" i="3"/>
  <c r="S26" i="3"/>
  <c r="T26" i="3"/>
  <c r="U26" i="3"/>
  <c r="V26" i="3"/>
  <c r="W26" i="3"/>
  <c r="O27" i="3"/>
  <c r="P27" i="3"/>
  <c r="Q27" i="3"/>
  <c r="R27" i="3"/>
  <c r="S27" i="3"/>
  <c r="T27" i="3"/>
  <c r="U27" i="3"/>
  <c r="V27" i="3"/>
  <c r="W27" i="3"/>
  <c r="O28" i="3"/>
  <c r="P28" i="3"/>
  <c r="Q28" i="3"/>
  <c r="R28" i="3"/>
  <c r="S28" i="3"/>
  <c r="T28" i="3"/>
  <c r="U28" i="3"/>
  <c r="V28" i="3"/>
  <c r="W28" i="3"/>
  <c r="O29" i="3"/>
  <c r="P29" i="3"/>
  <c r="Q29" i="3"/>
  <c r="R29" i="3"/>
  <c r="S29" i="3"/>
  <c r="T29" i="3"/>
  <c r="U29" i="3"/>
  <c r="V29" i="3"/>
  <c r="W29" i="3"/>
  <c r="O30" i="3"/>
  <c r="P30" i="3"/>
  <c r="Q30" i="3"/>
  <c r="R30" i="3"/>
  <c r="S30" i="3"/>
  <c r="T30" i="3"/>
  <c r="U30" i="3"/>
  <c r="V30" i="3"/>
  <c r="W30" i="3"/>
  <c r="O31" i="3"/>
  <c r="P31" i="3"/>
  <c r="Q31" i="3"/>
  <c r="R31" i="3"/>
  <c r="S31" i="3"/>
  <c r="T31" i="3"/>
  <c r="U31" i="3"/>
  <c r="V31" i="3"/>
  <c r="W31" i="3"/>
  <c r="O32" i="3"/>
  <c r="P32" i="3"/>
  <c r="Q32" i="3"/>
  <c r="R32" i="3"/>
  <c r="S32" i="3"/>
  <c r="T32" i="3"/>
  <c r="U32" i="3"/>
  <c r="V32" i="3"/>
  <c r="W32" i="3"/>
  <c r="O33" i="3"/>
  <c r="P33" i="3"/>
  <c r="Q33" i="3"/>
  <c r="R33" i="3"/>
  <c r="S33" i="3"/>
  <c r="T33" i="3"/>
  <c r="U33" i="3"/>
  <c r="V33" i="3"/>
  <c r="W33" i="3"/>
  <c r="O34" i="3"/>
  <c r="P34" i="3"/>
  <c r="Q34" i="3"/>
  <c r="R34" i="3"/>
  <c r="S34" i="3"/>
  <c r="T34" i="3"/>
  <c r="U34" i="3"/>
  <c r="V34" i="3"/>
  <c r="W34" i="3"/>
  <c r="O35" i="3"/>
  <c r="P35" i="3"/>
  <c r="Q35" i="3"/>
  <c r="R35" i="3"/>
  <c r="S35" i="3"/>
  <c r="T35" i="3"/>
  <c r="U35" i="3"/>
  <c r="V35" i="3"/>
  <c r="W35" i="3"/>
  <c r="O36" i="3"/>
  <c r="P36" i="3"/>
  <c r="Q36" i="3"/>
  <c r="R36" i="3"/>
  <c r="S36" i="3"/>
  <c r="T36" i="3"/>
  <c r="U36" i="3"/>
  <c r="V36" i="3"/>
  <c r="W36" i="3"/>
  <c r="O37" i="3"/>
  <c r="P37" i="3"/>
  <c r="Q37" i="3"/>
  <c r="R37" i="3"/>
  <c r="S37" i="3"/>
  <c r="T37" i="3"/>
  <c r="U37" i="3"/>
  <c r="V37" i="3"/>
  <c r="W37" i="3"/>
  <c r="O38" i="3"/>
  <c r="P38" i="3"/>
  <c r="Q38" i="3"/>
  <c r="R38" i="3"/>
  <c r="S38" i="3"/>
  <c r="T38" i="3"/>
  <c r="U38" i="3"/>
  <c r="V38" i="3"/>
  <c r="W38" i="3"/>
  <c r="O39" i="3"/>
  <c r="P39" i="3"/>
  <c r="Q39" i="3"/>
  <c r="R39" i="3"/>
  <c r="S39" i="3"/>
  <c r="T39" i="3"/>
  <c r="U39" i="3"/>
  <c r="V39" i="3"/>
  <c r="W39" i="3"/>
  <c r="O40" i="3"/>
  <c r="P40" i="3"/>
  <c r="Q40" i="3"/>
  <c r="R40" i="3"/>
  <c r="S40" i="3"/>
  <c r="T40" i="3"/>
  <c r="U40" i="3"/>
  <c r="V40" i="3"/>
  <c r="W40" i="3"/>
  <c r="O41" i="3"/>
  <c r="P41" i="3"/>
  <c r="Q41" i="3"/>
  <c r="R41" i="3"/>
  <c r="S41" i="3"/>
  <c r="T41" i="3"/>
  <c r="U41" i="3"/>
  <c r="V41" i="3"/>
  <c r="W41" i="3"/>
  <c r="O42" i="3"/>
  <c r="P42" i="3"/>
  <c r="Q42" i="3"/>
  <c r="R42" i="3"/>
  <c r="S42" i="3"/>
  <c r="T42" i="3"/>
  <c r="U42" i="3"/>
  <c r="V42" i="3"/>
  <c r="W42" i="3"/>
  <c r="O43" i="3"/>
  <c r="P43" i="3"/>
  <c r="Q43" i="3"/>
  <c r="R43" i="3"/>
  <c r="S43" i="3"/>
  <c r="T43" i="3"/>
  <c r="U43" i="3"/>
  <c r="V43" i="3"/>
  <c r="W43" i="3"/>
  <c r="O44" i="3"/>
  <c r="P44" i="3"/>
  <c r="Q44" i="3"/>
  <c r="R44" i="3"/>
  <c r="S44" i="3"/>
  <c r="T44" i="3"/>
  <c r="U44" i="3"/>
  <c r="V44" i="3"/>
  <c r="W44" i="3"/>
  <c r="O45" i="3"/>
  <c r="P45" i="3"/>
  <c r="Q45" i="3"/>
  <c r="R45" i="3"/>
  <c r="S45" i="3"/>
  <c r="T45" i="3"/>
  <c r="U45" i="3"/>
  <c r="V45" i="3"/>
  <c r="W45" i="3"/>
  <c r="O46" i="3"/>
  <c r="P46" i="3"/>
  <c r="Q46" i="3"/>
  <c r="R46" i="3"/>
  <c r="S46" i="3"/>
  <c r="T46" i="3"/>
  <c r="U46" i="3"/>
  <c r="V46" i="3"/>
  <c r="W46" i="3"/>
  <c r="O47" i="3"/>
  <c r="P47" i="3"/>
  <c r="Q47" i="3"/>
  <c r="R47" i="3"/>
  <c r="S47" i="3"/>
  <c r="T47" i="3"/>
  <c r="U47" i="3"/>
  <c r="V47" i="3"/>
  <c r="W47" i="3"/>
  <c r="O48" i="3"/>
  <c r="P48" i="3"/>
  <c r="Q48" i="3"/>
  <c r="R48" i="3"/>
  <c r="S48" i="3"/>
  <c r="T48" i="3"/>
  <c r="U48" i="3"/>
  <c r="V48" i="3"/>
  <c r="W48" i="3"/>
  <c r="O49" i="3"/>
  <c r="P49" i="3"/>
  <c r="Q49" i="3"/>
  <c r="R49" i="3"/>
  <c r="S49" i="3"/>
  <c r="T49" i="3"/>
  <c r="U49" i="3"/>
  <c r="V49" i="3"/>
  <c r="W49" i="3"/>
  <c r="O50" i="3"/>
  <c r="P50" i="3"/>
  <c r="Q50" i="3"/>
  <c r="R50" i="3"/>
  <c r="S50" i="3"/>
  <c r="T50" i="3"/>
  <c r="U50" i="3"/>
  <c r="V50" i="3"/>
  <c r="W50" i="3"/>
  <c r="O51" i="3"/>
  <c r="P51" i="3"/>
  <c r="Q51" i="3"/>
  <c r="R51" i="3"/>
  <c r="S51" i="3"/>
  <c r="T51" i="3"/>
  <c r="U51" i="3"/>
  <c r="V51" i="3"/>
  <c r="W51" i="3"/>
  <c r="O52" i="3"/>
  <c r="P52" i="3"/>
  <c r="Q52" i="3"/>
  <c r="R52" i="3"/>
  <c r="S52" i="3"/>
  <c r="T52" i="3"/>
  <c r="U52" i="3"/>
  <c r="V52" i="3"/>
  <c r="W52" i="3"/>
  <c r="O53" i="3"/>
  <c r="P53" i="3"/>
  <c r="Q53" i="3"/>
  <c r="R53" i="3"/>
  <c r="S53" i="3"/>
  <c r="T53" i="3"/>
  <c r="U53" i="3"/>
  <c r="V53" i="3"/>
  <c r="W53" i="3"/>
  <c r="O54" i="3"/>
  <c r="P54" i="3"/>
  <c r="Q54" i="3"/>
  <c r="R54" i="3"/>
  <c r="S54" i="3"/>
  <c r="T54" i="3"/>
  <c r="U54" i="3"/>
  <c r="V54" i="3"/>
  <c r="W54" i="3"/>
  <c r="O55" i="3"/>
  <c r="P55" i="3"/>
  <c r="Q55" i="3"/>
  <c r="R55" i="3"/>
  <c r="S55" i="3"/>
  <c r="T55" i="3"/>
  <c r="U55" i="3"/>
  <c r="V55" i="3"/>
  <c r="W55" i="3"/>
  <c r="O56" i="3"/>
  <c r="P56" i="3"/>
  <c r="Q56" i="3"/>
  <c r="R56" i="3"/>
  <c r="S56" i="3"/>
  <c r="T56" i="3"/>
  <c r="U56" i="3"/>
  <c r="V56" i="3"/>
  <c r="W56" i="3"/>
  <c r="O57" i="3"/>
  <c r="P57" i="3"/>
  <c r="Q57" i="3"/>
  <c r="R57" i="3"/>
  <c r="S57" i="3"/>
  <c r="T57" i="3"/>
  <c r="U57" i="3"/>
  <c r="V57" i="3"/>
  <c r="W57" i="3"/>
  <c r="O58" i="3"/>
  <c r="P58" i="3"/>
  <c r="Q58" i="3"/>
  <c r="R58" i="3"/>
  <c r="S58" i="3"/>
  <c r="T58" i="3"/>
  <c r="U58" i="3"/>
  <c r="V58" i="3"/>
  <c r="W58" i="3"/>
  <c r="O59" i="3"/>
  <c r="P59" i="3"/>
  <c r="Q59" i="3"/>
  <c r="R59" i="3"/>
  <c r="S59" i="3"/>
  <c r="T59" i="3"/>
  <c r="U59" i="3"/>
  <c r="V59" i="3"/>
  <c r="W59" i="3"/>
  <c r="O60" i="3"/>
  <c r="P60" i="3"/>
  <c r="Q60" i="3"/>
  <c r="R60" i="3"/>
  <c r="S60" i="3"/>
  <c r="T60" i="3"/>
  <c r="U60" i="3"/>
  <c r="V60" i="3"/>
  <c r="W60" i="3"/>
  <c r="O61" i="3"/>
  <c r="P61" i="3"/>
  <c r="Q61" i="3"/>
  <c r="R61" i="3"/>
  <c r="S61" i="3"/>
  <c r="T61" i="3"/>
  <c r="U61" i="3"/>
  <c r="V61" i="3"/>
  <c r="W61" i="3"/>
  <c r="O62" i="3"/>
  <c r="P62" i="3"/>
  <c r="Q62" i="3"/>
  <c r="R62" i="3"/>
  <c r="S62" i="3"/>
  <c r="T62" i="3"/>
  <c r="U62" i="3"/>
  <c r="V62" i="3"/>
  <c r="W62" i="3"/>
  <c r="O63" i="3"/>
  <c r="P63" i="3"/>
  <c r="Q63" i="3"/>
  <c r="R63" i="3"/>
  <c r="S63" i="3"/>
  <c r="T63" i="3"/>
  <c r="U63" i="3"/>
  <c r="V63" i="3"/>
  <c r="W63" i="3"/>
  <c r="O64" i="3"/>
  <c r="P64" i="3"/>
  <c r="Q64" i="3"/>
  <c r="R64" i="3"/>
  <c r="S64" i="3"/>
  <c r="T64" i="3"/>
  <c r="U64" i="3"/>
  <c r="V64" i="3"/>
  <c r="W64" i="3"/>
  <c r="O65" i="3"/>
  <c r="P65" i="3"/>
  <c r="Q65" i="3"/>
  <c r="R65" i="3"/>
  <c r="S65" i="3"/>
  <c r="T65" i="3"/>
  <c r="U65" i="3"/>
  <c r="V65" i="3"/>
  <c r="W65" i="3"/>
  <c r="O66" i="3"/>
  <c r="P66" i="3"/>
  <c r="Q66" i="3"/>
  <c r="R66" i="3"/>
  <c r="S66" i="3"/>
  <c r="T66" i="3"/>
  <c r="U66" i="3"/>
  <c r="V66" i="3"/>
  <c r="W66" i="3"/>
  <c r="O67" i="3"/>
  <c r="P67" i="3"/>
  <c r="Q67" i="3"/>
  <c r="R67" i="3"/>
  <c r="S67" i="3"/>
  <c r="T67" i="3"/>
  <c r="U67" i="3"/>
  <c r="V67" i="3"/>
  <c r="W67" i="3"/>
  <c r="O68" i="3"/>
  <c r="P68" i="3"/>
  <c r="Q68" i="3"/>
  <c r="R68" i="3"/>
  <c r="S68" i="3"/>
  <c r="T68" i="3"/>
  <c r="U68" i="3"/>
  <c r="V68" i="3"/>
  <c r="W68" i="3"/>
  <c r="O69" i="3"/>
  <c r="P69" i="3"/>
  <c r="Q69" i="3"/>
  <c r="R69" i="3"/>
  <c r="S69" i="3"/>
  <c r="T69" i="3"/>
  <c r="U69" i="3"/>
  <c r="V69" i="3"/>
  <c r="W69" i="3"/>
  <c r="O70" i="3"/>
  <c r="P70" i="3"/>
  <c r="Q70" i="3"/>
  <c r="R70" i="3"/>
  <c r="S70" i="3"/>
  <c r="T70" i="3"/>
  <c r="U70" i="3"/>
  <c r="V70" i="3"/>
  <c r="W70" i="3"/>
  <c r="O71" i="3"/>
  <c r="X71" i="3" s="1"/>
  <c r="P71" i="3"/>
  <c r="Q71" i="3"/>
  <c r="R71" i="3"/>
  <c r="S71" i="3"/>
  <c r="T71" i="3"/>
  <c r="U71" i="3"/>
  <c r="V71" i="3"/>
  <c r="W71" i="3"/>
  <c r="O72" i="3"/>
  <c r="P72" i="3"/>
  <c r="Q72" i="3"/>
  <c r="R72" i="3"/>
  <c r="S72" i="3"/>
  <c r="T72" i="3"/>
  <c r="U72" i="3"/>
  <c r="V72" i="3"/>
  <c r="W72" i="3"/>
  <c r="O73" i="3"/>
  <c r="P73" i="3"/>
  <c r="Q73" i="3"/>
  <c r="R73" i="3"/>
  <c r="S73" i="3"/>
  <c r="T73" i="3"/>
  <c r="U73" i="3"/>
  <c r="V73" i="3"/>
  <c r="W73" i="3"/>
  <c r="O74" i="3"/>
  <c r="P74" i="3"/>
  <c r="Q74" i="3"/>
  <c r="R74" i="3"/>
  <c r="S74" i="3"/>
  <c r="T74" i="3"/>
  <c r="U74" i="3"/>
  <c r="V74" i="3"/>
  <c r="W74" i="3"/>
  <c r="O75" i="3"/>
  <c r="P75" i="3"/>
  <c r="Q75" i="3"/>
  <c r="R75" i="3"/>
  <c r="S75" i="3"/>
  <c r="T75" i="3"/>
  <c r="U75" i="3"/>
  <c r="V75" i="3"/>
  <c r="W75" i="3"/>
  <c r="O76" i="3"/>
  <c r="P76" i="3"/>
  <c r="Q76" i="3"/>
  <c r="R76" i="3"/>
  <c r="S76" i="3"/>
  <c r="T76" i="3"/>
  <c r="U76" i="3"/>
  <c r="V76" i="3"/>
  <c r="W76" i="3"/>
  <c r="O77" i="3"/>
  <c r="P77" i="3"/>
  <c r="Q77" i="3"/>
  <c r="R77" i="3"/>
  <c r="S77" i="3"/>
  <c r="T77" i="3"/>
  <c r="U77" i="3"/>
  <c r="V77" i="3"/>
  <c r="W77" i="3"/>
  <c r="O78" i="3"/>
  <c r="P78" i="3"/>
  <c r="Q78" i="3"/>
  <c r="R78" i="3"/>
  <c r="S78" i="3"/>
  <c r="T78" i="3"/>
  <c r="U78" i="3"/>
  <c r="V78" i="3"/>
  <c r="W78" i="3"/>
  <c r="O79" i="3"/>
  <c r="P79" i="3"/>
  <c r="Q79" i="3"/>
  <c r="R79" i="3"/>
  <c r="S79" i="3"/>
  <c r="T79" i="3"/>
  <c r="U79" i="3"/>
  <c r="V79" i="3"/>
  <c r="W79" i="3"/>
  <c r="O80" i="3"/>
  <c r="P80" i="3"/>
  <c r="Q80" i="3"/>
  <c r="R80" i="3"/>
  <c r="S80" i="3"/>
  <c r="T80" i="3"/>
  <c r="U80" i="3"/>
  <c r="V80" i="3"/>
  <c r="W80" i="3"/>
  <c r="O81" i="3"/>
  <c r="P81" i="3"/>
  <c r="Q81" i="3"/>
  <c r="R81" i="3"/>
  <c r="S81" i="3"/>
  <c r="T81" i="3"/>
  <c r="U81" i="3"/>
  <c r="V81" i="3"/>
  <c r="W81" i="3"/>
  <c r="O82" i="3"/>
  <c r="P82" i="3"/>
  <c r="Q82" i="3"/>
  <c r="R82" i="3"/>
  <c r="S82" i="3"/>
  <c r="T82" i="3"/>
  <c r="U82" i="3"/>
  <c r="V82" i="3"/>
  <c r="W82" i="3"/>
  <c r="O83" i="3"/>
  <c r="P83" i="3"/>
  <c r="Q83" i="3"/>
  <c r="R83" i="3"/>
  <c r="S83" i="3"/>
  <c r="T83" i="3"/>
  <c r="U83" i="3"/>
  <c r="V83" i="3"/>
  <c r="W83" i="3"/>
  <c r="W2" i="3"/>
  <c r="R2" i="3"/>
  <c r="Q2" i="3"/>
  <c r="P2" i="3"/>
  <c r="S2" i="3"/>
  <c r="T2" i="3"/>
  <c r="U2" i="3"/>
  <c r="V2" i="3"/>
  <c r="O2" i="3"/>
  <c r="W2" i="1"/>
  <c r="X2" i="1" s="1"/>
</calcChain>
</file>

<file path=xl/sharedStrings.xml><?xml version="1.0" encoding="utf-8"?>
<sst xmlns="http://schemas.openxmlformats.org/spreadsheetml/2006/main" count="535" uniqueCount="38">
  <si>
    <t>ARC-L2</t>
  </si>
  <si>
    <t>ARC-L1</t>
  </si>
  <si>
    <t>ARC-L4</t>
  </si>
  <si>
    <t>CRU-L1</t>
  </si>
  <si>
    <t>CRU-L3</t>
  </si>
  <si>
    <t>CRU-L4</t>
  </si>
  <si>
    <t>CRU-L5</t>
  </si>
  <si>
    <t>CRUSADER</t>
  </si>
  <si>
    <t>HURSTON</t>
  </si>
  <si>
    <t>HUR-L1</t>
  </si>
  <si>
    <t>HUR-L2</t>
  </si>
  <si>
    <t>MIC-L1</t>
  </si>
  <si>
    <t>MIC-L2</t>
  </si>
  <si>
    <t>MIC-L5</t>
  </si>
  <si>
    <t>HUR-L5</t>
  </si>
  <si>
    <t>HUR-L4</t>
  </si>
  <si>
    <t>ARC-L3</t>
  </si>
  <si>
    <t>MICROTECH</t>
  </si>
  <si>
    <t>ARCCORP</t>
  </si>
  <si>
    <t>ARC-L5</t>
  </si>
  <si>
    <t>Y</t>
  </si>
  <si>
    <t>N</t>
  </si>
  <si>
    <t>Unique Locations</t>
  </si>
  <si>
    <t>BAND 1</t>
  </si>
  <si>
    <t>BAND 2</t>
  </si>
  <si>
    <t>BAND 3</t>
  </si>
  <si>
    <t>BAND 4</t>
  </si>
  <si>
    <t>BAND 5</t>
  </si>
  <si>
    <t>BAND 6</t>
  </si>
  <si>
    <t>BAND 7</t>
  </si>
  <si>
    <t>BAND 8</t>
  </si>
  <si>
    <t>BAND 9</t>
  </si>
  <si>
    <t>BAND 10</t>
  </si>
  <si>
    <t>Start</t>
  </si>
  <si>
    <t>Destination</t>
  </si>
  <si>
    <t>Unique Distances</t>
  </si>
  <si>
    <t>Mean Distance between bands</t>
  </si>
  <si>
    <t>Widest Band Crossing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</si>
</sst>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BEBF-CF8F-4867-BC52-EE44196E11B0}">
  <dimension ref="A1:X21"/>
  <sheetViews>
    <sheetView tabSelected="1" workbookViewId="0">
      <pane xSplit="1" topLeftCell="B1" activePane="topRight" state="frozen"/>
      <selection pane="topRight" activeCell="J4" sqref="J4"/>
    </sheetView>
  </sheetViews>
  <sheetFormatPr defaultRowHeight="15" x14ac:dyDescent="0.25"/>
  <cols>
    <col min="1" max="1" width="11.28515625" bestFit="1" customWidth="1"/>
    <col min="2" max="21" width="10.85546875" style="1" customWidth="1"/>
    <col min="23" max="23" width="16.42578125" bestFit="1" customWidth="1"/>
    <col min="24" max="24" width="16.5703125" style="1" bestFit="1" customWidth="1"/>
  </cols>
  <sheetData>
    <row r="1" spans="1:24" x14ac:dyDescent="0.25">
      <c r="A1" s="3"/>
      <c r="B1" s="2" t="s">
        <v>18</v>
      </c>
      <c r="C1" s="2" t="s">
        <v>1</v>
      </c>
      <c r="D1" s="2" t="s">
        <v>0</v>
      </c>
      <c r="E1" s="2" t="s">
        <v>16</v>
      </c>
      <c r="F1" s="2" t="s">
        <v>2</v>
      </c>
      <c r="G1" s="2" t="s">
        <v>19</v>
      </c>
      <c r="H1" s="2" t="s">
        <v>7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8</v>
      </c>
      <c r="N1" s="2" t="s">
        <v>9</v>
      </c>
      <c r="O1" s="2" t="s">
        <v>10</v>
      </c>
      <c r="P1" s="2" t="s">
        <v>15</v>
      </c>
      <c r="Q1" s="2" t="s">
        <v>14</v>
      </c>
      <c r="R1" s="2" t="s">
        <v>17</v>
      </c>
      <c r="S1" s="2" t="s">
        <v>11</v>
      </c>
      <c r="T1" s="2" t="s">
        <v>12</v>
      </c>
      <c r="U1" s="2" t="s">
        <v>13</v>
      </c>
      <c r="W1" s="1" t="s">
        <v>22</v>
      </c>
      <c r="X1" s="1" t="s">
        <v>35</v>
      </c>
    </row>
    <row r="2" spans="1:24" x14ac:dyDescent="0.25">
      <c r="A2" s="3" t="s">
        <v>18</v>
      </c>
      <c r="B2" s="2" t="s">
        <v>21</v>
      </c>
      <c r="C2" s="2" t="s">
        <v>21</v>
      </c>
      <c r="D2" s="2" t="s">
        <v>21</v>
      </c>
      <c r="E2" s="2" t="s">
        <v>21</v>
      </c>
      <c r="F2" s="2" t="s">
        <v>21</v>
      </c>
      <c r="G2" s="2" t="s">
        <v>21</v>
      </c>
      <c r="H2" s="2" t="s">
        <v>21</v>
      </c>
      <c r="I2" s="2" t="s">
        <v>20</v>
      </c>
      <c r="J2" s="2" t="s">
        <v>21</v>
      </c>
      <c r="K2" s="2" t="s">
        <v>21</v>
      </c>
      <c r="L2" s="2" t="s">
        <v>21</v>
      </c>
      <c r="M2" s="2" t="s">
        <v>21</v>
      </c>
      <c r="N2" s="2" t="s">
        <v>20</v>
      </c>
      <c r="O2" s="2" t="s">
        <v>20</v>
      </c>
      <c r="P2" s="2" t="s">
        <v>21</v>
      </c>
      <c r="Q2" s="2" t="s">
        <v>21</v>
      </c>
      <c r="R2" s="2" t="s">
        <v>21</v>
      </c>
      <c r="S2" s="2" t="s">
        <v>20</v>
      </c>
      <c r="T2" s="2" t="s">
        <v>21</v>
      </c>
      <c r="U2" s="2" t="s">
        <v>21</v>
      </c>
      <c r="W2" s="1">
        <f>COUNTIF(B2:U21, "y")</f>
        <v>41</v>
      </c>
      <c r="X2" s="1">
        <f>W2*2</f>
        <v>82</v>
      </c>
    </row>
    <row r="3" spans="1:24" x14ac:dyDescent="0.25">
      <c r="A3" s="3" t="s">
        <v>1</v>
      </c>
      <c r="B3" s="2"/>
      <c r="C3" s="2" t="s">
        <v>21</v>
      </c>
      <c r="D3" s="2" t="s">
        <v>21</v>
      </c>
      <c r="E3" s="2" t="s">
        <v>21</v>
      </c>
      <c r="F3" s="2" t="s">
        <v>21</v>
      </c>
      <c r="G3" s="2" t="s">
        <v>21</v>
      </c>
      <c r="H3" s="2" t="s">
        <v>20</v>
      </c>
      <c r="I3" s="2" t="s">
        <v>21</v>
      </c>
      <c r="J3" s="2" t="s">
        <v>20</v>
      </c>
      <c r="K3" s="2" t="s">
        <v>20</v>
      </c>
      <c r="L3" s="2" t="s">
        <v>20</v>
      </c>
      <c r="M3" s="2" t="s">
        <v>20</v>
      </c>
      <c r="N3" s="2" t="s">
        <v>21</v>
      </c>
      <c r="O3" s="2" t="s">
        <v>21</v>
      </c>
      <c r="P3" s="2" t="s">
        <v>21</v>
      </c>
      <c r="Q3" s="2" t="s">
        <v>21</v>
      </c>
      <c r="R3" s="2" t="s">
        <v>21</v>
      </c>
      <c r="S3" s="2" t="s">
        <v>21</v>
      </c>
      <c r="T3" s="2" t="s">
        <v>21</v>
      </c>
      <c r="U3" s="2" t="s">
        <v>21</v>
      </c>
    </row>
    <row r="4" spans="1:24" x14ac:dyDescent="0.25">
      <c r="A4" s="3" t="s">
        <v>0</v>
      </c>
      <c r="B4" s="2"/>
      <c r="C4" s="2"/>
      <c r="D4" s="2" t="s">
        <v>21</v>
      </c>
      <c r="E4" s="2" t="s">
        <v>21</v>
      </c>
      <c r="F4" s="2" t="s">
        <v>21</v>
      </c>
      <c r="G4" s="2" t="s">
        <v>21</v>
      </c>
      <c r="H4" s="2" t="s">
        <v>20</v>
      </c>
      <c r="I4" s="2" t="s">
        <v>21</v>
      </c>
      <c r="J4" s="2" t="s">
        <v>21</v>
      </c>
      <c r="K4" s="2" t="s">
        <v>20</v>
      </c>
      <c r="L4" s="2" t="s">
        <v>21</v>
      </c>
      <c r="M4" s="2" t="s">
        <v>20</v>
      </c>
      <c r="N4" s="2" t="s">
        <v>21</v>
      </c>
      <c r="O4" s="2" t="s">
        <v>21</v>
      </c>
      <c r="P4" s="2" t="s">
        <v>21</v>
      </c>
      <c r="Q4" s="2" t="s">
        <v>20</v>
      </c>
      <c r="R4" s="2" t="s">
        <v>21</v>
      </c>
      <c r="S4" s="2" t="s">
        <v>21</v>
      </c>
      <c r="T4" s="2" t="s">
        <v>21</v>
      </c>
      <c r="U4" s="2" t="s">
        <v>21</v>
      </c>
    </row>
    <row r="5" spans="1:24" x14ac:dyDescent="0.25">
      <c r="A5" s="3" t="s">
        <v>16</v>
      </c>
      <c r="B5" s="2"/>
      <c r="C5" s="2"/>
      <c r="D5" s="2"/>
      <c r="E5" s="2" t="s">
        <v>21</v>
      </c>
      <c r="F5" s="2" t="s">
        <v>21</v>
      </c>
      <c r="G5" s="2" t="s">
        <v>21</v>
      </c>
      <c r="H5" s="2" t="s">
        <v>21</v>
      </c>
      <c r="I5" s="2" t="s">
        <v>20</v>
      </c>
      <c r="J5" s="2" t="s">
        <v>21</v>
      </c>
      <c r="K5" s="2" t="s">
        <v>21</v>
      </c>
      <c r="L5" s="2" t="s">
        <v>21</v>
      </c>
      <c r="M5" s="2" t="s">
        <v>21</v>
      </c>
      <c r="N5" s="2" t="s">
        <v>20</v>
      </c>
      <c r="O5" s="2" t="s">
        <v>21</v>
      </c>
      <c r="P5" s="2" t="s">
        <v>21</v>
      </c>
      <c r="Q5" s="2" t="s">
        <v>21</v>
      </c>
      <c r="R5" s="2" t="s">
        <v>21</v>
      </c>
      <c r="S5" s="2" t="s">
        <v>21</v>
      </c>
      <c r="T5" s="2" t="s">
        <v>21</v>
      </c>
      <c r="U5" s="2" t="s">
        <v>21</v>
      </c>
    </row>
    <row r="6" spans="1:24" x14ac:dyDescent="0.25">
      <c r="A6" s="3" t="s">
        <v>2</v>
      </c>
      <c r="B6" s="2"/>
      <c r="C6" s="2"/>
      <c r="D6" s="2"/>
      <c r="E6" s="2"/>
      <c r="F6" s="2" t="s">
        <v>21</v>
      </c>
      <c r="G6" s="2" t="s">
        <v>21</v>
      </c>
      <c r="H6" s="2" t="s">
        <v>20</v>
      </c>
      <c r="I6" s="2" t="s">
        <v>21</v>
      </c>
      <c r="J6" s="2" t="s">
        <v>21</v>
      </c>
      <c r="K6" s="2" t="s">
        <v>21</v>
      </c>
      <c r="L6" s="2" t="s">
        <v>21</v>
      </c>
      <c r="M6" s="2" t="s">
        <v>20</v>
      </c>
      <c r="N6" s="2" t="s">
        <v>20</v>
      </c>
      <c r="O6" s="2" t="s">
        <v>20</v>
      </c>
      <c r="P6" s="2" t="s">
        <v>20</v>
      </c>
      <c r="Q6" s="2" t="s">
        <v>20</v>
      </c>
      <c r="R6" s="2" t="s">
        <v>21</v>
      </c>
      <c r="S6" s="2" t="s">
        <v>21</v>
      </c>
      <c r="T6" s="2" t="s">
        <v>21</v>
      </c>
      <c r="U6" s="2" t="s">
        <v>21</v>
      </c>
    </row>
    <row r="7" spans="1:24" x14ac:dyDescent="0.25">
      <c r="A7" s="3" t="s">
        <v>19</v>
      </c>
      <c r="B7" s="2"/>
      <c r="C7" s="2"/>
      <c r="D7" s="2"/>
      <c r="E7" s="2"/>
      <c r="F7" s="2"/>
      <c r="G7" s="2" t="s">
        <v>21</v>
      </c>
      <c r="H7" s="2" t="s">
        <v>21</v>
      </c>
      <c r="I7" s="2" t="s">
        <v>20</v>
      </c>
      <c r="J7" s="2" t="s">
        <v>21</v>
      </c>
      <c r="K7" s="2" t="s">
        <v>21</v>
      </c>
      <c r="L7" s="2" t="s">
        <v>21</v>
      </c>
      <c r="M7" s="2" t="s">
        <v>21</v>
      </c>
      <c r="N7" s="2" t="s">
        <v>20</v>
      </c>
      <c r="O7" s="2" t="s">
        <v>20</v>
      </c>
      <c r="P7" s="2" t="s">
        <v>21</v>
      </c>
      <c r="Q7" s="2" t="s">
        <v>21</v>
      </c>
      <c r="R7" s="2" t="s">
        <v>21</v>
      </c>
      <c r="S7" s="2" t="s">
        <v>21</v>
      </c>
      <c r="T7" s="2" t="s">
        <v>21</v>
      </c>
      <c r="U7" s="2" t="s">
        <v>21</v>
      </c>
    </row>
    <row r="8" spans="1:24" x14ac:dyDescent="0.25">
      <c r="A8" s="3" t="s">
        <v>7</v>
      </c>
      <c r="B8" s="2"/>
      <c r="C8" s="2"/>
      <c r="D8" s="2"/>
      <c r="E8" s="2"/>
      <c r="F8" s="2"/>
      <c r="G8" s="2"/>
      <c r="H8" s="2" t="s">
        <v>21</v>
      </c>
      <c r="I8" s="2" t="s">
        <v>21</v>
      </c>
      <c r="J8" s="2" t="s">
        <v>21</v>
      </c>
      <c r="K8" s="2" t="s">
        <v>21</v>
      </c>
      <c r="L8" s="2" t="s">
        <v>21</v>
      </c>
      <c r="M8" s="2" t="s">
        <v>21</v>
      </c>
      <c r="N8" s="2" t="s">
        <v>21</v>
      </c>
      <c r="O8" s="2" t="s">
        <v>21</v>
      </c>
      <c r="P8" s="2" t="s">
        <v>21</v>
      </c>
      <c r="Q8" s="2" t="s">
        <v>21</v>
      </c>
      <c r="R8" s="2" t="s">
        <v>21</v>
      </c>
      <c r="S8" s="2" t="s">
        <v>20</v>
      </c>
      <c r="T8" s="2" t="s">
        <v>20</v>
      </c>
      <c r="U8" s="2" t="s">
        <v>20</v>
      </c>
    </row>
    <row r="9" spans="1:24" x14ac:dyDescent="0.25">
      <c r="A9" s="3" t="s">
        <v>3</v>
      </c>
      <c r="B9" s="2"/>
      <c r="C9" s="2"/>
      <c r="D9" s="2"/>
      <c r="E9" s="2"/>
      <c r="F9" s="2"/>
      <c r="G9" s="2"/>
      <c r="H9" s="2"/>
      <c r="I9" s="2" t="s">
        <v>21</v>
      </c>
      <c r="J9" s="2" t="s">
        <v>21</v>
      </c>
      <c r="K9" s="2" t="s">
        <v>21</v>
      </c>
      <c r="L9" s="2" t="s">
        <v>21</v>
      </c>
      <c r="M9" s="2" t="s">
        <v>21</v>
      </c>
      <c r="N9" s="2" t="s">
        <v>21</v>
      </c>
      <c r="O9" s="2" t="s">
        <v>21</v>
      </c>
      <c r="P9" s="2" t="s">
        <v>21</v>
      </c>
      <c r="Q9" s="2" t="s">
        <v>21</v>
      </c>
      <c r="R9" s="2" t="s">
        <v>20</v>
      </c>
      <c r="S9" s="2" t="s">
        <v>21</v>
      </c>
      <c r="T9" s="2" t="s">
        <v>21</v>
      </c>
      <c r="U9" s="2" t="s">
        <v>21</v>
      </c>
    </row>
    <row r="10" spans="1:24" x14ac:dyDescent="0.25">
      <c r="A10" s="3" t="s">
        <v>4</v>
      </c>
      <c r="B10" s="2"/>
      <c r="C10" s="2"/>
      <c r="D10" s="2"/>
      <c r="E10" s="2"/>
      <c r="F10" s="2"/>
      <c r="G10" s="2"/>
      <c r="H10" s="2"/>
      <c r="I10" s="2"/>
      <c r="J10" s="2" t="s">
        <v>21</v>
      </c>
      <c r="K10" s="2" t="s">
        <v>21</v>
      </c>
      <c r="L10" s="2" t="s">
        <v>21</v>
      </c>
      <c r="M10" s="2" t="s">
        <v>21</v>
      </c>
      <c r="N10" s="2" t="s">
        <v>21</v>
      </c>
      <c r="O10" s="2" t="s">
        <v>21</v>
      </c>
      <c r="P10" s="2" t="s">
        <v>21</v>
      </c>
      <c r="Q10" s="2" t="s">
        <v>21</v>
      </c>
      <c r="R10" s="2" t="s">
        <v>21</v>
      </c>
      <c r="S10" s="2" t="s">
        <v>21</v>
      </c>
      <c r="T10" s="2" t="s">
        <v>20</v>
      </c>
      <c r="U10" s="2" t="s">
        <v>20</v>
      </c>
    </row>
    <row r="11" spans="1:24" x14ac:dyDescent="0.25">
      <c r="A11" s="3" t="s">
        <v>5</v>
      </c>
      <c r="B11" s="2"/>
      <c r="C11" s="2"/>
      <c r="D11" s="2"/>
      <c r="E11" s="2"/>
      <c r="F11" s="2"/>
      <c r="G11" s="2"/>
      <c r="H11" s="2"/>
      <c r="I11" s="2"/>
      <c r="J11" s="2"/>
      <c r="K11" s="2" t="s">
        <v>21</v>
      </c>
      <c r="L11" s="2" t="s">
        <v>21</v>
      </c>
      <c r="M11" s="2" t="s">
        <v>21</v>
      </c>
      <c r="N11" s="2" t="s">
        <v>21</v>
      </c>
      <c r="O11" s="2" t="s">
        <v>21</v>
      </c>
      <c r="P11" s="2" t="s">
        <v>21</v>
      </c>
      <c r="Q11" s="2" t="s">
        <v>21</v>
      </c>
      <c r="R11" s="2" t="s">
        <v>21</v>
      </c>
      <c r="S11" s="2" t="s">
        <v>21</v>
      </c>
      <c r="T11" s="2" t="s">
        <v>21</v>
      </c>
      <c r="U11" s="2" t="s">
        <v>20</v>
      </c>
    </row>
    <row r="12" spans="1:24" x14ac:dyDescent="0.25">
      <c r="A12" s="3" t="s">
        <v>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 t="s">
        <v>21</v>
      </c>
      <c r="M12" s="2" t="s">
        <v>21</v>
      </c>
      <c r="N12" s="2" t="s">
        <v>21</v>
      </c>
      <c r="O12" s="2" t="s">
        <v>21</v>
      </c>
      <c r="P12" s="2" t="s">
        <v>21</v>
      </c>
      <c r="Q12" s="2" t="s">
        <v>21</v>
      </c>
      <c r="R12" s="2" t="s">
        <v>21</v>
      </c>
      <c r="S12" s="2" t="s">
        <v>20</v>
      </c>
      <c r="T12" s="2" t="s">
        <v>20</v>
      </c>
      <c r="U12" s="2" t="s">
        <v>21</v>
      </c>
    </row>
    <row r="13" spans="1:24" x14ac:dyDescent="0.25">
      <c r="A13" s="3" t="s">
        <v>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 t="s">
        <v>21</v>
      </c>
      <c r="N13" s="2" t="s">
        <v>21</v>
      </c>
      <c r="O13" s="2" t="s">
        <v>21</v>
      </c>
      <c r="P13" s="2" t="s">
        <v>21</v>
      </c>
      <c r="Q13" s="2" t="s">
        <v>21</v>
      </c>
      <c r="R13" s="2" t="s">
        <v>21</v>
      </c>
      <c r="S13" s="2" t="s">
        <v>20</v>
      </c>
      <c r="T13" s="2" t="s">
        <v>20</v>
      </c>
      <c r="U13" s="2" t="s">
        <v>20</v>
      </c>
    </row>
    <row r="14" spans="1:24" x14ac:dyDescent="0.25">
      <c r="A14" s="3" t="s">
        <v>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 t="s">
        <v>21</v>
      </c>
      <c r="O14" s="2" t="s">
        <v>21</v>
      </c>
      <c r="P14" s="2" t="s">
        <v>21</v>
      </c>
      <c r="Q14" s="2" t="s">
        <v>21</v>
      </c>
      <c r="R14" s="2" t="s">
        <v>20</v>
      </c>
      <c r="S14" s="2" t="s">
        <v>21</v>
      </c>
      <c r="T14" s="2" t="s">
        <v>21</v>
      </c>
      <c r="U14" s="2" t="s">
        <v>21</v>
      </c>
    </row>
    <row r="15" spans="1:24" x14ac:dyDescent="0.25">
      <c r="A15" s="3" t="s"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21</v>
      </c>
      <c r="P15" s="2" t="s">
        <v>21</v>
      </c>
      <c r="Q15" s="2" t="s">
        <v>21</v>
      </c>
      <c r="R15" s="2" t="s">
        <v>20</v>
      </c>
      <c r="S15" s="2" t="s">
        <v>21</v>
      </c>
      <c r="T15" s="2" t="s">
        <v>21</v>
      </c>
      <c r="U15" s="2" t="s">
        <v>21</v>
      </c>
    </row>
    <row r="16" spans="1:24" x14ac:dyDescent="0.25">
      <c r="A16" s="3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 t="s">
        <v>21</v>
      </c>
      <c r="Q16" s="2" t="s">
        <v>21</v>
      </c>
      <c r="R16" s="2" t="s">
        <v>21</v>
      </c>
      <c r="S16" s="2" t="s">
        <v>20</v>
      </c>
      <c r="T16" s="2" t="s">
        <v>20</v>
      </c>
      <c r="U16" s="2" t="s">
        <v>20</v>
      </c>
    </row>
    <row r="17" spans="1:21" x14ac:dyDescent="0.25">
      <c r="A17" s="3" t="s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 t="s">
        <v>21</v>
      </c>
      <c r="R17" s="2" t="s">
        <v>21</v>
      </c>
      <c r="S17" s="2" t="s">
        <v>21</v>
      </c>
      <c r="T17" s="2" t="s">
        <v>21</v>
      </c>
      <c r="U17" s="2" t="s">
        <v>21</v>
      </c>
    </row>
    <row r="18" spans="1:21" x14ac:dyDescent="0.25">
      <c r="A18" s="3" t="s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 t="s">
        <v>21</v>
      </c>
      <c r="S18" s="2" t="s">
        <v>21</v>
      </c>
      <c r="T18" s="2" t="s">
        <v>21</v>
      </c>
      <c r="U18" s="2" t="s">
        <v>21</v>
      </c>
    </row>
    <row r="19" spans="1:21" x14ac:dyDescent="0.25">
      <c r="A19" s="3" t="s">
        <v>11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 t="s">
        <v>21</v>
      </c>
      <c r="T19" s="2" t="s">
        <v>21</v>
      </c>
      <c r="U19" s="2" t="s">
        <v>21</v>
      </c>
    </row>
    <row r="20" spans="1:21" x14ac:dyDescent="0.25">
      <c r="A20" s="3" t="s">
        <v>12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 t="s">
        <v>21</v>
      </c>
      <c r="U20" s="2" t="s">
        <v>21</v>
      </c>
    </row>
    <row r="21" spans="1:21" x14ac:dyDescent="0.25">
      <c r="A21" s="3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 t="s">
        <v>21</v>
      </c>
    </row>
  </sheetData>
  <phoneticPr fontId="1" type="noConversion"/>
  <conditionalFormatting sqref="B2:U22">
    <cfRule type="containsText" dxfId="3" priority="1" operator="containsText" text="Y">
      <formula>NOT(ISERROR(SEARCH("Y",B2)))</formula>
    </cfRule>
    <cfRule type="expression" dxfId="2" priority="3">
      <formula>"Y"</formula>
    </cfRule>
    <cfRule type="containsText" dxfId="1" priority="4" operator="containsText" text="N">
      <formula>NOT(ISERROR(SEARCH("N",B2)))</formula>
    </cfRule>
  </conditionalFormatting>
  <conditionalFormatting sqref="H3">
    <cfRule type="containsText" dxfId="0" priority="2" operator="containsText" text="Y">
      <formula>NOT(ISERROR(SEARCH("Y",H3)))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B9FF-BDEE-4B43-B7D2-088EA4348EF3}">
  <dimension ref="B1:X83"/>
  <sheetViews>
    <sheetView workbookViewId="0">
      <selection activeCell="E71" sqref="E71"/>
    </sheetView>
  </sheetViews>
  <sheetFormatPr defaultRowHeight="15" x14ac:dyDescent="0.25"/>
  <cols>
    <col min="2" max="2" width="11.28515625" bestFit="1" customWidth="1"/>
    <col min="3" max="3" width="11.140625" bestFit="1" customWidth="1"/>
    <col min="4" max="13" width="9" bestFit="1" customWidth="1"/>
    <col min="17" max="20" width="11.5703125" style="1" customWidth="1"/>
    <col min="21" max="21" width="12" bestFit="1" customWidth="1"/>
    <col min="24" max="24" width="15.140625" style="5" customWidth="1"/>
  </cols>
  <sheetData>
    <row r="1" spans="2:24" ht="30" x14ac:dyDescent="0.25">
      <c r="B1" t="s">
        <v>33</v>
      </c>
      <c r="C1" t="s">
        <v>34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O1">
        <v>12</v>
      </c>
      <c r="P1">
        <v>23</v>
      </c>
      <c r="Q1" s="1">
        <v>34</v>
      </c>
      <c r="R1" s="1">
        <v>45</v>
      </c>
      <c r="S1" s="1">
        <v>56</v>
      </c>
      <c r="T1" s="1">
        <v>67</v>
      </c>
      <c r="U1" s="1">
        <v>78</v>
      </c>
      <c r="V1" s="1">
        <v>89</v>
      </c>
      <c r="W1" s="1">
        <v>90</v>
      </c>
      <c r="X1" s="4" t="s">
        <v>36</v>
      </c>
    </row>
    <row r="2" spans="2:24" x14ac:dyDescent="0.25">
      <c r="B2" t="s">
        <v>18</v>
      </c>
      <c r="C2" t="s">
        <v>3</v>
      </c>
      <c r="D2" s="1">
        <v>30518497</v>
      </c>
      <c r="E2" s="1">
        <v>30700511</v>
      </c>
      <c r="F2" s="1">
        <v>30862113</v>
      </c>
      <c r="G2" s="1">
        <v>31064125</v>
      </c>
      <c r="H2" s="1">
        <v>31241101</v>
      </c>
      <c r="I2" s="1">
        <v>31416452</v>
      </c>
      <c r="J2" s="1">
        <v>31637616</v>
      </c>
      <c r="K2" s="1">
        <v>31890358</v>
      </c>
      <c r="L2" s="1">
        <v>32121564</v>
      </c>
      <c r="M2" s="1">
        <v>32264993</v>
      </c>
      <c r="O2">
        <f>ABS(E2-D2)</f>
        <v>182014</v>
      </c>
      <c r="P2">
        <f>ABS(F2-E2)</f>
        <v>161602</v>
      </c>
      <c r="Q2">
        <f>ABS(G2-F2)</f>
        <v>202012</v>
      </c>
      <c r="R2">
        <f>ABS(H2-G2)</f>
        <v>176976</v>
      </c>
      <c r="S2">
        <f t="shared" ref="P2:W2" si="0">ABS(I2-H2)</f>
        <v>175351</v>
      </c>
      <c r="T2">
        <f t="shared" si="0"/>
        <v>221164</v>
      </c>
      <c r="U2">
        <f t="shared" si="0"/>
        <v>252742</v>
      </c>
      <c r="V2">
        <f t="shared" si="0"/>
        <v>231206</v>
      </c>
      <c r="W2">
        <f>ABS(M2-L2)</f>
        <v>143429</v>
      </c>
      <c r="X2" s="5">
        <f>MROUND(AVERAGE(O2:W2),1000)</f>
        <v>194000</v>
      </c>
    </row>
    <row r="3" spans="2:24" x14ac:dyDescent="0.25">
      <c r="C3" t="s">
        <v>9</v>
      </c>
      <c r="D3" s="1">
        <v>12833749</v>
      </c>
      <c r="E3" s="1">
        <v>13020439</v>
      </c>
      <c r="F3" s="1">
        <v>13186107</v>
      </c>
      <c r="G3" s="1">
        <v>13393090</v>
      </c>
      <c r="H3" s="1">
        <v>13574323</v>
      </c>
      <c r="I3" s="1">
        <v>13753805</v>
      </c>
      <c r="J3" s="1">
        <v>13980060</v>
      </c>
      <c r="K3" s="1">
        <v>14238463</v>
      </c>
      <c r="L3" s="1">
        <v>14474706</v>
      </c>
      <c r="M3" s="1">
        <v>14621194</v>
      </c>
      <c r="O3">
        <f t="shared" ref="O3:O66" si="1">ABS(E3-D3)</f>
        <v>186690</v>
      </c>
      <c r="P3">
        <f t="shared" ref="P3:P66" si="2">ABS(F3-E3)</f>
        <v>165668</v>
      </c>
      <c r="Q3">
        <f t="shared" ref="Q3:Q66" si="3">ABS(G3-F3)</f>
        <v>206983</v>
      </c>
      <c r="R3">
        <f t="shared" ref="R3:R66" si="4">ABS(H3-G3)</f>
        <v>181233</v>
      </c>
      <c r="S3">
        <f t="shared" ref="S3:S66" si="5">ABS(I3-H3)</f>
        <v>179482</v>
      </c>
      <c r="T3">
        <f t="shared" ref="T3:T66" si="6">ABS(J3-I3)</f>
        <v>226255</v>
      </c>
      <c r="U3">
        <f t="shared" ref="U3:U66" si="7">ABS(K3-J3)</f>
        <v>258403</v>
      </c>
      <c r="V3">
        <f t="shared" ref="V3:V66" si="8">ABS(L3-K3)</f>
        <v>236243</v>
      </c>
      <c r="W3">
        <f t="shared" ref="W3:W66" si="9">ABS(M3-L3)</f>
        <v>146488</v>
      </c>
      <c r="X3" s="5">
        <f t="shared" ref="X3:X66" si="10">MROUND(AVERAGE(O3:W3),1000)</f>
        <v>199000</v>
      </c>
    </row>
    <row r="4" spans="2:24" x14ac:dyDescent="0.25">
      <c r="C4" t="s">
        <v>10</v>
      </c>
      <c r="D4" s="1">
        <v>11218780</v>
      </c>
      <c r="E4" s="1">
        <v>11436018</v>
      </c>
      <c r="F4" s="1">
        <v>11628078</v>
      </c>
      <c r="G4" s="1">
        <v>11867129</v>
      </c>
      <c r="H4" s="1">
        <v>12075650</v>
      </c>
      <c r="I4" s="1">
        <v>12281461</v>
      </c>
      <c r="J4" s="1">
        <v>12539963</v>
      </c>
      <c r="K4" s="1">
        <v>12833970</v>
      </c>
      <c r="L4" s="1">
        <v>13101681</v>
      </c>
      <c r="M4" s="1">
        <v>13267186</v>
      </c>
      <c r="O4">
        <f t="shared" si="1"/>
        <v>217238</v>
      </c>
      <c r="P4">
        <f t="shared" si="2"/>
        <v>192060</v>
      </c>
      <c r="Q4">
        <f t="shared" si="3"/>
        <v>239051</v>
      </c>
      <c r="R4">
        <f t="shared" si="4"/>
        <v>208521</v>
      </c>
      <c r="S4">
        <f t="shared" si="5"/>
        <v>205811</v>
      </c>
      <c r="T4">
        <f t="shared" si="6"/>
        <v>258502</v>
      </c>
      <c r="U4">
        <f t="shared" si="7"/>
        <v>294007</v>
      </c>
      <c r="V4">
        <f t="shared" si="8"/>
        <v>267711</v>
      </c>
      <c r="W4">
        <f t="shared" si="9"/>
        <v>165505</v>
      </c>
      <c r="X4" s="5">
        <f t="shared" si="10"/>
        <v>228000</v>
      </c>
    </row>
    <row r="5" spans="2:24" x14ac:dyDescent="0.25">
      <c r="C5" t="s">
        <v>11</v>
      </c>
      <c r="D5" s="1">
        <v>29748105</v>
      </c>
      <c r="E5" s="1">
        <v>29085573</v>
      </c>
      <c r="F5" s="1">
        <v>28558994</v>
      </c>
      <c r="G5" s="1">
        <v>27958511</v>
      </c>
      <c r="H5" s="1">
        <v>27472312</v>
      </c>
      <c r="I5" s="1">
        <v>27019309</v>
      </c>
      <c r="J5" s="1">
        <v>26480773</v>
      </c>
      <c r="K5" s="1">
        <v>25901518</v>
      </c>
      <c r="L5" s="1">
        <v>25399100</v>
      </c>
      <c r="M5" s="1">
        <v>25098595</v>
      </c>
      <c r="O5">
        <f t="shared" si="1"/>
        <v>662532</v>
      </c>
      <c r="P5">
        <f t="shared" si="2"/>
        <v>526579</v>
      </c>
      <c r="Q5">
        <f t="shared" si="3"/>
        <v>600483</v>
      </c>
      <c r="R5">
        <f t="shared" si="4"/>
        <v>486199</v>
      </c>
      <c r="S5">
        <f t="shared" si="5"/>
        <v>453003</v>
      </c>
      <c r="T5">
        <f t="shared" si="6"/>
        <v>538536</v>
      </c>
      <c r="U5">
        <f t="shared" si="7"/>
        <v>579255</v>
      </c>
      <c r="V5">
        <f t="shared" si="8"/>
        <v>502418</v>
      </c>
      <c r="W5">
        <f t="shared" si="9"/>
        <v>300505</v>
      </c>
      <c r="X5" s="5">
        <f t="shared" si="10"/>
        <v>517000</v>
      </c>
    </row>
    <row r="6" spans="2:24" x14ac:dyDescent="0.25">
      <c r="B6" t="s">
        <v>1</v>
      </c>
      <c r="C6" t="s">
        <v>7</v>
      </c>
      <c r="D6">
        <v>32477533</v>
      </c>
      <c r="E6">
        <v>32661536</v>
      </c>
      <c r="F6">
        <v>32824869</v>
      </c>
      <c r="G6">
        <v>33028998</v>
      </c>
      <c r="H6">
        <v>33207787</v>
      </c>
      <c r="I6">
        <v>33384898</v>
      </c>
      <c r="J6">
        <v>33608233</v>
      </c>
      <c r="K6">
        <v>33863390</v>
      </c>
      <c r="L6">
        <v>34096746</v>
      </c>
      <c r="M6">
        <v>34241481</v>
      </c>
      <c r="O6">
        <f t="shared" si="1"/>
        <v>184003</v>
      </c>
      <c r="P6">
        <f t="shared" si="2"/>
        <v>163333</v>
      </c>
      <c r="Q6">
        <f t="shared" si="3"/>
        <v>204129</v>
      </c>
      <c r="R6">
        <f t="shared" si="4"/>
        <v>178789</v>
      </c>
      <c r="S6">
        <f t="shared" si="5"/>
        <v>177111</v>
      </c>
      <c r="T6">
        <f t="shared" si="6"/>
        <v>223335</v>
      </c>
      <c r="U6">
        <f t="shared" si="7"/>
        <v>255157</v>
      </c>
      <c r="V6">
        <f t="shared" si="8"/>
        <v>233356</v>
      </c>
      <c r="W6">
        <f t="shared" si="9"/>
        <v>144735</v>
      </c>
      <c r="X6" s="5">
        <f t="shared" si="10"/>
        <v>196000</v>
      </c>
    </row>
    <row r="7" spans="2:24" x14ac:dyDescent="0.25">
      <c r="C7" t="s">
        <v>4</v>
      </c>
      <c r="D7">
        <v>10989473</v>
      </c>
      <c r="E7">
        <v>11446936</v>
      </c>
      <c r="F7">
        <v>11832950</v>
      </c>
      <c r="G7">
        <v>12293296</v>
      </c>
      <c r="H7">
        <v>12679383</v>
      </c>
      <c r="I7">
        <v>13048324</v>
      </c>
      <c r="J7">
        <v>13496942</v>
      </c>
      <c r="K7">
        <v>13989945</v>
      </c>
      <c r="L7">
        <v>14425115</v>
      </c>
      <c r="M7">
        <v>14688359</v>
      </c>
      <c r="O7">
        <f t="shared" si="1"/>
        <v>457463</v>
      </c>
      <c r="P7">
        <f t="shared" si="2"/>
        <v>386014</v>
      </c>
      <c r="Q7">
        <f t="shared" si="3"/>
        <v>460346</v>
      </c>
      <c r="R7">
        <f t="shared" si="4"/>
        <v>386087</v>
      </c>
      <c r="S7">
        <f t="shared" si="5"/>
        <v>368941</v>
      </c>
      <c r="T7">
        <f t="shared" si="6"/>
        <v>448618</v>
      </c>
      <c r="U7">
        <f t="shared" si="7"/>
        <v>493003</v>
      </c>
      <c r="V7">
        <f t="shared" si="8"/>
        <v>435170</v>
      </c>
      <c r="W7">
        <f t="shared" si="9"/>
        <v>263244</v>
      </c>
      <c r="X7" s="5">
        <f t="shared" si="10"/>
        <v>411000</v>
      </c>
    </row>
    <row r="8" spans="2:24" x14ac:dyDescent="0.25">
      <c r="C8" t="s">
        <v>5</v>
      </c>
      <c r="D8">
        <v>12744803</v>
      </c>
      <c r="E8">
        <v>13157847</v>
      </c>
      <c r="F8">
        <v>13510150</v>
      </c>
      <c r="G8">
        <v>13934165</v>
      </c>
      <c r="H8">
        <v>14292609</v>
      </c>
      <c r="I8">
        <v>14637246</v>
      </c>
      <c r="J8">
        <v>15058764</v>
      </c>
      <c r="K8">
        <v>15524706</v>
      </c>
      <c r="L8">
        <v>15938061</v>
      </c>
      <c r="M8">
        <v>16188952</v>
      </c>
      <c r="O8">
        <f t="shared" si="1"/>
        <v>413044</v>
      </c>
      <c r="P8">
        <f t="shared" si="2"/>
        <v>352303</v>
      </c>
      <c r="Q8">
        <f t="shared" si="3"/>
        <v>424015</v>
      </c>
      <c r="R8">
        <f t="shared" si="4"/>
        <v>358444</v>
      </c>
      <c r="S8">
        <f t="shared" si="5"/>
        <v>344637</v>
      </c>
      <c r="T8">
        <f t="shared" si="6"/>
        <v>421518</v>
      </c>
      <c r="U8">
        <f t="shared" si="7"/>
        <v>465942</v>
      </c>
      <c r="V8">
        <f t="shared" si="8"/>
        <v>413355</v>
      </c>
      <c r="W8">
        <f t="shared" si="9"/>
        <v>250891</v>
      </c>
      <c r="X8" s="5">
        <f t="shared" si="10"/>
        <v>383000</v>
      </c>
    </row>
    <row r="9" spans="2:24" x14ac:dyDescent="0.25">
      <c r="C9" t="s">
        <v>6</v>
      </c>
      <c r="D9">
        <v>38842891</v>
      </c>
      <c r="E9">
        <v>38997920</v>
      </c>
      <c r="F9">
        <v>39135946</v>
      </c>
      <c r="G9">
        <v>39308978</v>
      </c>
      <c r="H9">
        <v>39461005</v>
      </c>
      <c r="I9">
        <v>39612032</v>
      </c>
      <c r="J9">
        <v>39803066</v>
      </c>
      <c r="K9">
        <v>40022104</v>
      </c>
      <c r="L9">
        <v>40223137</v>
      </c>
      <c r="M9">
        <v>40348158</v>
      </c>
      <c r="O9">
        <f t="shared" si="1"/>
        <v>155029</v>
      </c>
      <c r="P9">
        <f t="shared" si="2"/>
        <v>138026</v>
      </c>
      <c r="Q9">
        <f t="shared" si="3"/>
        <v>173032</v>
      </c>
      <c r="R9">
        <f t="shared" si="4"/>
        <v>152027</v>
      </c>
      <c r="S9">
        <f t="shared" si="5"/>
        <v>151027</v>
      </c>
      <c r="T9">
        <f t="shared" si="6"/>
        <v>191034</v>
      </c>
      <c r="U9">
        <f t="shared" si="7"/>
        <v>219038</v>
      </c>
      <c r="V9">
        <f t="shared" si="8"/>
        <v>201033</v>
      </c>
      <c r="W9">
        <f t="shared" si="9"/>
        <v>125021</v>
      </c>
      <c r="X9" s="5">
        <f t="shared" si="10"/>
        <v>167000</v>
      </c>
    </row>
    <row r="10" spans="2:24" x14ac:dyDescent="0.25">
      <c r="C10" t="s">
        <v>8</v>
      </c>
      <c r="D10">
        <v>12680614</v>
      </c>
      <c r="E10">
        <v>12881847</v>
      </c>
      <c r="F10">
        <v>13060115</v>
      </c>
      <c r="G10">
        <v>13282453</v>
      </c>
      <c r="H10">
        <v>13476792</v>
      </c>
      <c r="I10">
        <v>13668952</v>
      </c>
      <c r="J10">
        <v>13910778</v>
      </c>
      <c r="K10">
        <v>14186429</v>
      </c>
      <c r="L10">
        <v>14437964</v>
      </c>
      <c r="M10">
        <v>14593715</v>
      </c>
      <c r="O10">
        <f t="shared" si="1"/>
        <v>201233</v>
      </c>
      <c r="P10">
        <f t="shared" si="2"/>
        <v>178268</v>
      </c>
      <c r="Q10">
        <f t="shared" si="3"/>
        <v>222338</v>
      </c>
      <c r="R10">
        <f t="shared" si="4"/>
        <v>194339</v>
      </c>
      <c r="S10">
        <f t="shared" si="5"/>
        <v>192160</v>
      </c>
      <c r="T10">
        <f t="shared" si="6"/>
        <v>241826</v>
      </c>
      <c r="U10">
        <f t="shared" si="7"/>
        <v>275651</v>
      </c>
      <c r="V10">
        <f t="shared" si="8"/>
        <v>251535</v>
      </c>
      <c r="W10">
        <f t="shared" si="9"/>
        <v>155751</v>
      </c>
      <c r="X10" s="5">
        <f t="shared" si="10"/>
        <v>213000</v>
      </c>
    </row>
    <row r="11" spans="2:24" x14ac:dyDescent="0.25">
      <c r="B11" t="s">
        <v>0</v>
      </c>
      <c r="C11" t="s">
        <v>7</v>
      </c>
      <c r="D11">
        <v>29835087</v>
      </c>
      <c r="E11">
        <v>30020198</v>
      </c>
      <c r="F11">
        <v>30183988</v>
      </c>
      <c r="G11">
        <v>30416953</v>
      </c>
      <c r="H11">
        <v>32090899</v>
      </c>
      <c r="I11">
        <v>32273873</v>
      </c>
      <c r="J11">
        <v>32503681</v>
      </c>
      <c r="K11">
        <v>32766911</v>
      </c>
      <c r="L11">
        <v>33005926</v>
      </c>
      <c r="M11">
        <v>33155143</v>
      </c>
      <c r="O11">
        <f t="shared" si="1"/>
        <v>185111</v>
      </c>
      <c r="P11">
        <f t="shared" si="2"/>
        <v>163790</v>
      </c>
      <c r="Q11">
        <f t="shared" si="3"/>
        <v>232965</v>
      </c>
      <c r="R11">
        <f t="shared" si="4"/>
        <v>1673946</v>
      </c>
      <c r="S11">
        <f t="shared" si="5"/>
        <v>182974</v>
      </c>
      <c r="T11">
        <f t="shared" si="6"/>
        <v>229808</v>
      </c>
      <c r="U11">
        <f t="shared" si="7"/>
        <v>263230</v>
      </c>
      <c r="V11">
        <f t="shared" si="8"/>
        <v>239015</v>
      </c>
      <c r="W11">
        <f t="shared" si="9"/>
        <v>149217</v>
      </c>
      <c r="X11" s="5">
        <f t="shared" si="10"/>
        <v>369000</v>
      </c>
    </row>
    <row r="12" spans="2:24" x14ac:dyDescent="0.25">
      <c r="C12" t="s">
        <v>5</v>
      </c>
      <c r="D12">
        <v>8282791</v>
      </c>
      <c r="E12">
        <v>8819520</v>
      </c>
      <c r="F12">
        <v>9261296</v>
      </c>
      <c r="G12">
        <v>9384727</v>
      </c>
      <c r="H12">
        <v>10213088</v>
      </c>
      <c r="I12">
        <v>10619534</v>
      </c>
      <c r="J12">
        <v>11108954</v>
      </c>
      <c r="K12">
        <v>11641854</v>
      </c>
      <c r="L12">
        <v>12109387</v>
      </c>
      <c r="M12">
        <v>12389524</v>
      </c>
      <c r="O12">
        <f t="shared" si="1"/>
        <v>536729</v>
      </c>
      <c r="P12">
        <f t="shared" si="2"/>
        <v>441776</v>
      </c>
      <c r="Q12">
        <f t="shared" si="3"/>
        <v>123431</v>
      </c>
      <c r="R12">
        <f t="shared" si="4"/>
        <v>828361</v>
      </c>
      <c r="S12">
        <f t="shared" si="5"/>
        <v>406446</v>
      </c>
      <c r="T12">
        <f t="shared" si="6"/>
        <v>489420</v>
      </c>
      <c r="U12">
        <f t="shared" si="7"/>
        <v>532900</v>
      </c>
      <c r="V12">
        <f t="shared" si="8"/>
        <v>467533</v>
      </c>
      <c r="W12">
        <f t="shared" si="9"/>
        <v>280137</v>
      </c>
      <c r="X12" s="5">
        <f t="shared" si="10"/>
        <v>456000</v>
      </c>
    </row>
    <row r="13" spans="2:24" x14ac:dyDescent="0.25">
      <c r="C13" t="s">
        <v>8</v>
      </c>
      <c r="D13">
        <v>11591569</v>
      </c>
      <c r="E13">
        <v>11789853</v>
      </c>
      <c r="F13">
        <v>11964198</v>
      </c>
      <c r="G13">
        <v>12205207</v>
      </c>
      <c r="H13">
        <v>12373993</v>
      </c>
      <c r="I13">
        <v>12562456</v>
      </c>
      <c r="J13">
        <v>12801159</v>
      </c>
      <c r="K13">
        <v>13072050</v>
      </c>
      <c r="L13">
        <v>13320467</v>
      </c>
      <c r="M13">
        <v>13473594</v>
      </c>
      <c r="O13">
        <f t="shared" si="1"/>
        <v>198284</v>
      </c>
      <c r="P13">
        <f t="shared" si="2"/>
        <v>174345</v>
      </c>
      <c r="Q13">
        <f t="shared" si="3"/>
        <v>241009</v>
      </c>
      <c r="R13">
        <f t="shared" si="4"/>
        <v>168786</v>
      </c>
      <c r="S13">
        <f t="shared" si="5"/>
        <v>188463</v>
      </c>
      <c r="T13">
        <f t="shared" si="6"/>
        <v>238703</v>
      </c>
      <c r="U13">
        <f t="shared" si="7"/>
        <v>270891</v>
      </c>
      <c r="V13">
        <f t="shared" si="8"/>
        <v>248417</v>
      </c>
      <c r="W13">
        <f t="shared" si="9"/>
        <v>153127</v>
      </c>
      <c r="X13" s="5">
        <f t="shared" si="10"/>
        <v>209000</v>
      </c>
    </row>
    <row r="14" spans="2:24" x14ac:dyDescent="0.25">
      <c r="C14" t="s">
        <v>14</v>
      </c>
      <c r="D14">
        <v>7043371</v>
      </c>
      <c r="E14">
        <v>7201232</v>
      </c>
      <c r="F14">
        <v>7341201</v>
      </c>
      <c r="G14">
        <v>7536360</v>
      </c>
      <c r="H14">
        <v>7671815</v>
      </c>
      <c r="I14">
        <v>7825770</v>
      </c>
      <c r="J14">
        <v>8019481</v>
      </c>
      <c r="K14">
        <v>8242037</v>
      </c>
      <c r="L14">
        <v>8446266</v>
      </c>
      <c r="M14">
        <v>8573334</v>
      </c>
      <c r="O14">
        <f t="shared" si="1"/>
        <v>157861</v>
      </c>
      <c r="P14">
        <f t="shared" si="2"/>
        <v>139969</v>
      </c>
      <c r="Q14">
        <f t="shared" si="3"/>
        <v>195159</v>
      </c>
      <c r="R14">
        <f t="shared" si="4"/>
        <v>135455</v>
      </c>
      <c r="S14">
        <f t="shared" si="5"/>
        <v>153955</v>
      </c>
      <c r="T14">
        <f t="shared" si="6"/>
        <v>193711</v>
      </c>
      <c r="U14">
        <f t="shared" si="7"/>
        <v>222556</v>
      </c>
      <c r="V14">
        <f t="shared" si="8"/>
        <v>204229</v>
      </c>
      <c r="W14">
        <f t="shared" si="9"/>
        <v>127068</v>
      </c>
      <c r="X14" s="5">
        <f t="shared" si="10"/>
        <v>170000</v>
      </c>
    </row>
    <row r="15" spans="2:24" x14ac:dyDescent="0.25">
      <c r="B15" t="s">
        <v>16</v>
      </c>
      <c r="C15" t="s">
        <v>3</v>
      </c>
      <c r="D15" s="1">
        <v>5707996</v>
      </c>
      <c r="E15" s="1">
        <v>5987223</v>
      </c>
      <c r="F15" s="1">
        <v>6231830</v>
      </c>
      <c r="G15" s="1">
        <v>6533538</v>
      </c>
      <c r="H15" s="1">
        <v>6794395</v>
      </c>
      <c r="I15" s="1">
        <v>7049884</v>
      </c>
      <c r="J15" s="1">
        <v>7368185</v>
      </c>
      <c r="K15" s="1">
        <v>7726945</v>
      </c>
      <c r="L15" s="1">
        <v>8050828</v>
      </c>
      <c r="M15" s="1">
        <v>8249818</v>
      </c>
      <c r="O15">
        <f t="shared" si="1"/>
        <v>279227</v>
      </c>
      <c r="P15">
        <f t="shared" si="2"/>
        <v>244607</v>
      </c>
      <c r="Q15">
        <f t="shared" si="3"/>
        <v>301708</v>
      </c>
      <c r="R15">
        <f t="shared" si="4"/>
        <v>260857</v>
      </c>
      <c r="S15">
        <f t="shared" si="5"/>
        <v>255489</v>
      </c>
      <c r="T15">
        <f t="shared" si="6"/>
        <v>318301</v>
      </c>
      <c r="U15">
        <f t="shared" si="7"/>
        <v>358760</v>
      </c>
      <c r="V15">
        <f t="shared" si="8"/>
        <v>323883</v>
      </c>
      <c r="W15">
        <f t="shared" si="9"/>
        <v>198990</v>
      </c>
      <c r="X15" s="5">
        <f t="shared" si="10"/>
        <v>282000</v>
      </c>
    </row>
    <row r="16" spans="2:24" x14ac:dyDescent="0.25">
      <c r="C16" t="s">
        <v>9</v>
      </c>
      <c r="D16" s="1">
        <v>29995314</v>
      </c>
      <c r="E16" s="1">
        <v>30154018</v>
      </c>
      <c r="F16" s="1">
        <v>30295266</v>
      </c>
      <c r="G16" s="1">
        <v>30472273</v>
      </c>
      <c r="H16" s="1">
        <v>30627735</v>
      </c>
      <c r="I16" s="1">
        <v>30782121</v>
      </c>
      <c r="J16" s="1">
        <v>30977332</v>
      </c>
      <c r="K16" s="1">
        <v>31201062</v>
      </c>
      <c r="L16" s="1">
        <v>31406314</v>
      </c>
      <c r="M16" s="1">
        <v>31533916</v>
      </c>
      <c r="O16">
        <f t="shared" si="1"/>
        <v>158704</v>
      </c>
      <c r="P16">
        <f t="shared" si="2"/>
        <v>141248</v>
      </c>
      <c r="Q16">
        <f t="shared" si="3"/>
        <v>177007</v>
      </c>
      <c r="R16">
        <f t="shared" si="4"/>
        <v>155462</v>
      </c>
      <c r="S16">
        <f t="shared" si="5"/>
        <v>154386</v>
      </c>
      <c r="T16">
        <f t="shared" si="6"/>
        <v>195211</v>
      </c>
      <c r="U16">
        <f t="shared" si="7"/>
        <v>223730</v>
      </c>
      <c r="V16">
        <f t="shared" si="8"/>
        <v>205252</v>
      </c>
      <c r="W16">
        <f t="shared" si="9"/>
        <v>127602</v>
      </c>
      <c r="X16" s="5">
        <f t="shared" si="10"/>
        <v>171000</v>
      </c>
    </row>
    <row r="17" spans="2:24" x14ac:dyDescent="0.25">
      <c r="B17" t="s">
        <v>2</v>
      </c>
      <c r="C17" t="s">
        <v>7</v>
      </c>
      <c r="D17" s="1">
        <v>38842794</v>
      </c>
      <c r="E17" s="1">
        <v>38997077</v>
      </c>
      <c r="F17" s="1">
        <v>39135897</v>
      </c>
      <c r="G17" s="1">
        <v>39326105</v>
      </c>
      <c r="H17" s="1">
        <v>39459902</v>
      </c>
      <c r="I17" s="1">
        <v>39611749</v>
      </c>
      <c r="J17" s="1">
        <v>39801597</v>
      </c>
      <c r="K17" s="1">
        <v>40021636</v>
      </c>
      <c r="L17" s="1">
        <v>40223263</v>
      </c>
      <c r="M17" s="1">
        <v>40347579</v>
      </c>
      <c r="O17">
        <f t="shared" si="1"/>
        <v>154283</v>
      </c>
      <c r="P17">
        <f t="shared" si="2"/>
        <v>138820</v>
      </c>
      <c r="Q17">
        <f t="shared" si="3"/>
        <v>190208</v>
      </c>
      <c r="R17">
        <f t="shared" si="4"/>
        <v>133797</v>
      </c>
      <c r="S17">
        <f t="shared" si="5"/>
        <v>151847</v>
      </c>
      <c r="T17">
        <f t="shared" si="6"/>
        <v>189848</v>
      </c>
      <c r="U17">
        <f t="shared" si="7"/>
        <v>220039</v>
      </c>
      <c r="V17">
        <f t="shared" si="8"/>
        <v>201627</v>
      </c>
      <c r="W17">
        <f t="shared" si="9"/>
        <v>124316</v>
      </c>
      <c r="X17" s="5">
        <f t="shared" si="10"/>
        <v>167000</v>
      </c>
    </row>
    <row r="18" spans="2:24" x14ac:dyDescent="0.25">
      <c r="C18" t="s">
        <v>8</v>
      </c>
      <c r="D18" s="1">
        <v>7070916</v>
      </c>
      <c r="E18" s="1">
        <v>7230273</v>
      </c>
      <c r="F18" s="1">
        <v>7370184</v>
      </c>
      <c r="G18" s="1">
        <v>7564946</v>
      </c>
      <c r="H18" s="1">
        <v>7701368</v>
      </c>
      <c r="I18" s="1">
        <v>7856128</v>
      </c>
      <c r="J18" s="1">
        <v>8049803</v>
      </c>
      <c r="K18" s="1">
        <v>8272616</v>
      </c>
      <c r="L18" s="1">
        <v>8478470</v>
      </c>
      <c r="M18" s="1">
        <v>8605879</v>
      </c>
      <c r="O18">
        <f t="shared" si="1"/>
        <v>159357</v>
      </c>
      <c r="P18">
        <f t="shared" si="2"/>
        <v>139911</v>
      </c>
      <c r="Q18">
        <f t="shared" si="3"/>
        <v>194762</v>
      </c>
      <c r="R18">
        <f t="shared" si="4"/>
        <v>136422</v>
      </c>
      <c r="S18">
        <f t="shared" si="5"/>
        <v>154760</v>
      </c>
      <c r="T18">
        <f t="shared" si="6"/>
        <v>193675</v>
      </c>
      <c r="U18">
        <f t="shared" si="7"/>
        <v>222813</v>
      </c>
      <c r="V18">
        <f t="shared" si="8"/>
        <v>205854</v>
      </c>
      <c r="W18">
        <f t="shared" si="9"/>
        <v>127409</v>
      </c>
      <c r="X18" s="5">
        <f t="shared" si="10"/>
        <v>171000</v>
      </c>
    </row>
    <row r="19" spans="2:24" x14ac:dyDescent="0.25">
      <c r="C19" t="s">
        <v>9</v>
      </c>
      <c r="D19" s="1">
        <v>8337999</v>
      </c>
      <c r="E19" s="1">
        <v>8495192</v>
      </c>
      <c r="F19" s="1">
        <v>8635114</v>
      </c>
      <c r="G19" s="1">
        <v>8810486</v>
      </c>
      <c r="H19" s="1">
        <v>8964537</v>
      </c>
      <c r="I19" s="1">
        <v>9117543</v>
      </c>
      <c r="J19" s="1">
        <v>9311037</v>
      </c>
      <c r="K19" s="1">
        <v>9532840</v>
      </c>
      <c r="L19" s="1">
        <v>9736361</v>
      </c>
      <c r="M19" s="1">
        <v>9862904</v>
      </c>
      <c r="O19">
        <f t="shared" si="1"/>
        <v>157193</v>
      </c>
      <c r="P19">
        <f t="shared" si="2"/>
        <v>139922</v>
      </c>
      <c r="Q19">
        <f t="shared" si="3"/>
        <v>175372</v>
      </c>
      <c r="R19">
        <f t="shared" si="4"/>
        <v>154051</v>
      </c>
      <c r="S19">
        <f t="shared" si="5"/>
        <v>153006</v>
      </c>
      <c r="T19">
        <f t="shared" si="6"/>
        <v>193494</v>
      </c>
      <c r="U19">
        <f t="shared" si="7"/>
        <v>221803</v>
      </c>
      <c r="V19">
        <f t="shared" si="8"/>
        <v>203521</v>
      </c>
      <c r="W19">
        <f t="shared" si="9"/>
        <v>126543</v>
      </c>
      <c r="X19" s="5">
        <f t="shared" si="10"/>
        <v>169000</v>
      </c>
    </row>
    <row r="20" spans="2:24" x14ac:dyDescent="0.25">
      <c r="C20" t="s">
        <v>10</v>
      </c>
      <c r="D20" s="1">
        <v>5798830</v>
      </c>
      <c r="E20" s="1">
        <v>5958342</v>
      </c>
      <c r="F20" s="1">
        <v>6100297</v>
      </c>
      <c r="G20" s="1">
        <v>6278176</v>
      </c>
      <c r="H20" s="1">
        <v>6434391</v>
      </c>
      <c r="I20" s="1">
        <v>6589514</v>
      </c>
      <c r="J20" s="1">
        <v>6785639</v>
      </c>
      <c r="K20" s="1">
        <v>7010396</v>
      </c>
      <c r="L20" s="1">
        <v>7216570</v>
      </c>
      <c r="M20" s="1">
        <v>7344736</v>
      </c>
      <c r="O20">
        <f t="shared" si="1"/>
        <v>159512</v>
      </c>
      <c r="P20">
        <f t="shared" si="2"/>
        <v>141955</v>
      </c>
      <c r="Q20">
        <f t="shared" si="3"/>
        <v>177879</v>
      </c>
      <c r="R20">
        <f t="shared" si="4"/>
        <v>156215</v>
      </c>
      <c r="S20">
        <f t="shared" si="5"/>
        <v>155123</v>
      </c>
      <c r="T20">
        <f t="shared" si="6"/>
        <v>196125</v>
      </c>
      <c r="U20">
        <f t="shared" si="7"/>
        <v>224757</v>
      </c>
      <c r="V20">
        <f t="shared" si="8"/>
        <v>206174</v>
      </c>
      <c r="W20">
        <f t="shared" si="9"/>
        <v>128166</v>
      </c>
      <c r="X20" s="5">
        <f t="shared" si="10"/>
        <v>172000</v>
      </c>
    </row>
    <row r="21" spans="2:24" x14ac:dyDescent="0.25">
      <c r="C21" t="s">
        <v>15</v>
      </c>
      <c r="D21" s="1">
        <v>12056876</v>
      </c>
      <c r="E21" s="1">
        <v>12256149</v>
      </c>
      <c r="F21" s="1">
        <v>12432646</v>
      </c>
      <c r="G21" s="1">
        <v>12675639</v>
      </c>
      <c r="H21" s="1">
        <v>12845579</v>
      </c>
      <c r="I21" s="1">
        <v>13037482</v>
      </c>
      <c r="J21" s="1">
        <v>13275781</v>
      </c>
      <c r="K21" s="1">
        <v>13594098</v>
      </c>
      <c r="L21" s="1">
        <v>13798849</v>
      </c>
      <c r="M21" s="1">
        <v>13953751</v>
      </c>
      <c r="O21">
        <f t="shared" si="1"/>
        <v>199273</v>
      </c>
      <c r="P21">
        <f t="shared" si="2"/>
        <v>176497</v>
      </c>
      <c r="Q21">
        <f t="shared" si="3"/>
        <v>242993</v>
      </c>
      <c r="R21">
        <f t="shared" si="4"/>
        <v>169940</v>
      </c>
      <c r="S21">
        <f t="shared" si="5"/>
        <v>191903</v>
      </c>
      <c r="T21">
        <f t="shared" si="6"/>
        <v>238299</v>
      </c>
      <c r="U21">
        <f t="shared" si="7"/>
        <v>318317</v>
      </c>
      <c r="V21">
        <f t="shared" si="8"/>
        <v>204751</v>
      </c>
      <c r="W21">
        <f t="shared" si="9"/>
        <v>154902</v>
      </c>
      <c r="X21" s="5">
        <f t="shared" si="10"/>
        <v>211000</v>
      </c>
    </row>
    <row r="22" spans="2:24" x14ac:dyDescent="0.25">
      <c r="C22" t="s">
        <v>14</v>
      </c>
      <c r="D22" s="1">
        <v>16390933</v>
      </c>
      <c r="E22" s="1">
        <v>16593118</v>
      </c>
      <c r="F22" s="1">
        <v>16773844</v>
      </c>
      <c r="G22" s="1">
        <v>17020906</v>
      </c>
      <c r="H22" s="1">
        <v>17194167</v>
      </c>
      <c r="I22" s="1">
        <v>17386750</v>
      </c>
      <c r="J22" s="1">
        <v>17630337</v>
      </c>
      <c r="K22" s="1">
        <v>17909463</v>
      </c>
      <c r="L22" s="1">
        <v>18162537</v>
      </c>
      <c r="M22" s="1">
        <v>18319385</v>
      </c>
      <c r="O22">
        <f t="shared" si="1"/>
        <v>202185</v>
      </c>
      <c r="P22">
        <f t="shared" si="2"/>
        <v>180726</v>
      </c>
      <c r="Q22">
        <f t="shared" si="3"/>
        <v>247062</v>
      </c>
      <c r="R22">
        <f t="shared" si="4"/>
        <v>173261</v>
      </c>
      <c r="S22">
        <f t="shared" si="5"/>
        <v>192583</v>
      </c>
      <c r="T22">
        <f t="shared" si="6"/>
        <v>243587</v>
      </c>
      <c r="U22">
        <f t="shared" si="7"/>
        <v>279126</v>
      </c>
      <c r="V22">
        <f t="shared" si="8"/>
        <v>253074</v>
      </c>
      <c r="W22">
        <f t="shared" si="9"/>
        <v>156848</v>
      </c>
      <c r="X22" s="5">
        <f t="shared" si="10"/>
        <v>214000</v>
      </c>
    </row>
    <row r="23" spans="2:24" x14ac:dyDescent="0.25">
      <c r="B23" t="s">
        <v>19</v>
      </c>
      <c r="C23" t="s">
        <v>3</v>
      </c>
      <c r="D23" s="1">
        <v>12299871</v>
      </c>
      <c r="E23" s="1">
        <v>12606171</v>
      </c>
      <c r="F23" s="1">
        <v>12873248</v>
      </c>
      <c r="G23" s="1">
        <v>13201198</v>
      </c>
      <c r="H23" s="1">
        <v>13483537</v>
      </c>
      <c r="I23" s="1">
        <v>13759066</v>
      </c>
      <c r="J23" s="1">
        <v>14101058</v>
      </c>
      <c r="K23" s="1">
        <v>14484963</v>
      </c>
      <c r="L23" s="1">
        <v>14830252</v>
      </c>
      <c r="M23" s="1">
        <v>15041829</v>
      </c>
      <c r="O23">
        <f t="shared" si="1"/>
        <v>306300</v>
      </c>
      <c r="P23">
        <f t="shared" si="2"/>
        <v>267077</v>
      </c>
      <c r="Q23">
        <f t="shared" si="3"/>
        <v>327950</v>
      </c>
      <c r="R23">
        <f t="shared" si="4"/>
        <v>282339</v>
      </c>
      <c r="S23">
        <f t="shared" si="5"/>
        <v>275529</v>
      </c>
      <c r="T23">
        <f t="shared" si="6"/>
        <v>341992</v>
      </c>
      <c r="U23">
        <f t="shared" si="7"/>
        <v>383905</v>
      </c>
      <c r="V23">
        <f t="shared" si="8"/>
        <v>345289</v>
      </c>
      <c r="W23">
        <f t="shared" si="9"/>
        <v>211577</v>
      </c>
      <c r="X23" s="5">
        <f t="shared" si="10"/>
        <v>305000</v>
      </c>
    </row>
    <row r="24" spans="2:24" x14ac:dyDescent="0.25">
      <c r="C24" t="s">
        <v>9</v>
      </c>
      <c r="D24" s="1">
        <v>24653500</v>
      </c>
      <c r="E24" s="1">
        <v>24827955</v>
      </c>
      <c r="F24" s="1">
        <v>24982974</v>
      </c>
      <c r="G24" s="1">
        <v>25176918</v>
      </c>
      <c r="H24" s="1">
        <v>25346970</v>
      </c>
      <c r="I24" s="1">
        <v>25515590</v>
      </c>
      <c r="J24" s="1">
        <v>25728444</v>
      </c>
      <c r="K24" s="1">
        <v>25971923</v>
      </c>
      <c r="L24" s="1">
        <v>26194866</v>
      </c>
      <c r="M24" s="1">
        <v>26333268</v>
      </c>
      <c r="O24">
        <f t="shared" si="1"/>
        <v>174455</v>
      </c>
      <c r="P24">
        <f t="shared" si="2"/>
        <v>155019</v>
      </c>
      <c r="Q24">
        <f t="shared" si="3"/>
        <v>193944</v>
      </c>
      <c r="R24">
        <f t="shared" si="4"/>
        <v>170052</v>
      </c>
      <c r="S24">
        <f t="shared" si="5"/>
        <v>168620</v>
      </c>
      <c r="T24">
        <f t="shared" si="6"/>
        <v>212854</v>
      </c>
      <c r="U24">
        <f t="shared" si="7"/>
        <v>243479</v>
      </c>
      <c r="V24">
        <f t="shared" si="8"/>
        <v>222943</v>
      </c>
      <c r="W24">
        <f t="shared" si="9"/>
        <v>138402</v>
      </c>
      <c r="X24" s="5">
        <f t="shared" si="10"/>
        <v>187000</v>
      </c>
    </row>
    <row r="25" spans="2:24" x14ac:dyDescent="0.25">
      <c r="C25" t="s">
        <v>10</v>
      </c>
      <c r="D25" s="1">
        <v>25977084</v>
      </c>
      <c r="E25" s="1">
        <v>26160603</v>
      </c>
      <c r="F25" s="1">
        <v>26323515</v>
      </c>
      <c r="G25" s="1">
        <v>26527129</v>
      </c>
      <c r="H25" s="1">
        <v>26705478</v>
      </c>
      <c r="I25" s="1">
        <v>26882161</v>
      </c>
      <c r="J25" s="1">
        <v>27104969</v>
      </c>
      <c r="K25" s="1">
        <v>27359539</v>
      </c>
      <c r="L25" s="1">
        <v>27592373</v>
      </c>
      <c r="M25" s="1">
        <v>27736791</v>
      </c>
      <c r="O25">
        <f t="shared" si="1"/>
        <v>183519</v>
      </c>
      <c r="P25">
        <f t="shared" si="2"/>
        <v>162912</v>
      </c>
      <c r="Q25">
        <f t="shared" si="3"/>
        <v>203614</v>
      </c>
      <c r="R25">
        <f t="shared" si="4"/>
        <v>178349</v>
      </c>
      <c r="S25">
        <f t="shared" si="5"/>
        <v>176683</v>
      </c>
      <c r="T25">
        <f t="shared" si="6"/>
        <v>222808</v>
      </c>
      <c r="U25">
        <f t="shared" si="7"/>
        <v>254570</v>
      </c>
      <c r="V25">
        <f t="shared" si="8"/>
        <v>232834</v>
      </c>
      <c r="W25">
        <f t="shared" si="9"/>
        <v>144418</v>
      </c>
      <c r="X25" s="5">
        <f t="shared" si="10"/>
        <v>196000</v>
      </c>
    </row>
    <row r="26" spans="2:24" x14ac:dyDescent="0.25">
      <c r="B26" t="s">
        <v>7</v>
      </c>
      <c r="C26" t="s">
        <v>1</v>
      </c>
      <c r="D26">
        <v>7173358</v>
      </c>
      <c r="E26">
        <v>6989355</v>
      </c>
      <c r="F26">
        <v>6826022</v>
      </c>
      <c r="G26">
        <v>6621894</v>
      </c>
      <c r="H26">
        <v>6443104</v>
      </c>
      <c r="I26">
        <v>6265993</v>
      </c>
      <c r="J26">
        <v>6042658</v>
      </c>
      <c r="K26">
        <v>5787501</v>
      </c>
      <c r="L26">
        <v>5554145</v>
      </c>
      <c r="M26">
        <v>5409410</v>
      </c>
      <c r="O26">
        <f t="shared" si="1"/>
        <v>184003</v>
      </c>
      <c r="P26">
        <f t="shared" si="2"/>
        <v>163333</v>
      </c>
      <c r="Q26">
        <f t="shared" si="3"/>
        <v>204128</v>
      </c>
      <c r="R26">
        <f t="shared" si="4"/>
        <v>178790</v>
      </c>
      <c r="S26">
        <f t="shared" si="5"/>
        <v>177111</v>
      </c>
      <c r="T26">
        <f t="shared" si="6"/>
        <v>223335</v>
      </c>
      <c r="U26">
        <f t="shared" si="7"/>
        <v>255157</v>
      </c>
      <c r="V26">
        <f t="shared" si="8"/>
        <v>233356</v>
      </c>
      <c r="W26">
        <f t="shared" si="9"/>
        <v>144735</v>
      </c>
      <c r="X26" s="5">
        <f t="shared" si="10"/>
        <v>196000</v>
      </c>
    </row>
    <row r="27" spans="2:24" x14ac:dyDescent="0.25">
      <c r="C27" t="s">
        <v>0</v>
      </c>
      <c r="D27">
        <v>13643681</v>
      </c>
      <c r="E27">
        <v>13458570</v>
      </c>
      <c r="F27">
        <v>13294910</v>
      </c>
      <c r="G27">
        <v>13061778</v>
      </c>
      <c r="H27">
        <v>12898644</v>
      </c>
      <c r="I27">
        <v>12715670</v>
      </c>
      <c r="J27">
        <v>12485862</v>
      </c>
      <c r="K27">
        <v>12222632</v>
      </c>
      <c r="L27">
        <v>11983618</v>
      </c>
      <c r="M27">
        <v>11834401</v>
      </c>
      <c r="O27">
        <f t="shared" si="1"/>
        <v>185111</v>
      </c>
      <c r="P27">
        <f t="shared" si="2"/>
        <v>163660</v>
      </c>
      <c r="Q27">
        <f t="shared" si="3"/>
        <v>233132</v>
      </c>
      <c r="R27">
        <f t="shared" si="4"/>
        <v>163134</v>
      </c>
      <c r="S27">
        <f t="shared" si="5"/>
        <v>182974</v>
      </c>
      <c r="T27">
        <f t="shared" si="6"/>
        <v>229808</v>
      </c>
      <c r="U27">
        <f t="shared" si="7"/>
        <v>263230</v>
      </c>
      <c r="V27">
        <f t="shared" si="8"/>
        <v>239014</v>
      </c>
      <c r="W27">
        <f t="shared" si="9"/>
        <v>149217</v>
      </c>
      <c r="X27" s="5">
        <f t="shared" si="10"/>
        <v>201000</v>
      </c>
    </row>
    <row r="28" spans="2:24" x14ac:dyDescent="0.25">
      <c r="C28" t="s">
        <v>2</v>
      </c>
      <c r="D28" s="1">
        <v>9216394</v>
      </c>
      <c r="E28" s="1">
        <v>9062112</v>
      </c>
      <c r="F28" s="1">
        <v>8923294</v>
      </c>
      <c r="G28" s="1">
        <v>8733084</v>
      </c>
      <c r="H28" s="1">
        <v>8599287</v>
      </c>
      <c r="I28" s="1">
        <v>8447440</v>
      </c>
      <c r="J28" s="1">
        <v>8257591</v>
      </c>
      <c r="K28" s="1">
        <v>8037552</v>
      </c>
      <c r="L28" s="1">
        <v>7835926</v>
      </c>
      <c r="M28" s="1">
        <v>7711610</v>
      </c>
      <c r="O28">
        <f t="shared" si="1"/>
        <v>154282</v>
      </c>
      <c r="P28">
        <f t="shared" si="2"/>
        <v>138818</v>
      </c>
      <c r="Q28">
        <f t="shared" si="3"/>
        <v>190210</v>
      </c>
      <c r="R28">
        <f t="shared" si="4"/>
        <v>133797</v>
      </c>
      <c r="S28">
        <f t="shared" si="5"/>
        <v>151847</v>
      </c>
      <c r="T28">
        <f t="shared" si="6"/>
        <v>189849</v>
      </c>
      <c r="U28">
        <f t="shared" si="7"/>
        <v>220039</v>
      </c>
      <c r="V28">
        <f t="shared" si="8"/>
        <v>201626</v>
      </c>
      <c r="W28">
        <f t="shared" si="9"/>
        <v>124316</v>
      </c>
      <c r="X28" s="5">
        <f t="shared" si="10"/>
        <v>167000</v>
      </c>
    </row>
    <row r="29" spans="2:24" x14ac:dyDescent="0.25">
      <c r="C29" t="s">
        <v>11</v>
      </c>
      <c r="D29" s="1">
        <v>21135335</v>
      </c>
      <c r="E29" s="1">
        <v>20949611</v>
      </c>
      <c r="F29" s="1">
        <v>20784782</v>
      </c>
      <c r="G29" s="1">
        <v>20578824</v>
      </c>
      <c r="H29" s="1">
        <v>20398469</v>
      </c>
      <c r="I29" s="1">
        <v>20219838</v>
      </c>
      <c r="J29" s="1">
        <v>19994631</v>
      </c>
      <c r="K29" s="1">
        <v>19737393</v>
      </c>
      <c r="L29" s="1">
        <v>19502185</v>
      </c>
      <c r="M29" s="1">
        <v>19356326</v>
      </c>
      <c r="O29">
        <f t="shared" si="1"/>
        <v>185724</v>
      </c>
      <c r="P29">
        <f t="shared" si="2"/>
        <v>164829</v>
      </c>
      <c r="Q29">
        <f t="shared" si="3"/>
        <v>205958</v>
      </c>
      <c r="R29">
        <f t="shared" si="4"/>
        <v>180355</v>
      </c>
      <c r="S29">
        <f t="shared" si="5"/>
        <v>178631</v>
      </c>
      <c r="T29">
        <f t="shared" si="6"/>
        <v>225207</v>
      </c>
      <c r="U29">
        <f t="shared" si="7"/>
        <v>257238</v>
      </c>
      <c r="V29">
        <f t="shared" si="8"/>
        <v>235208</v>
      </c>
      <c r="W29">
        <f t="shared" si="9"/>
        <v>145859</v>
      </c>
      <c r="X29" s="5">
        <f t="shared" si="10"/>
        <v>198000</v>
      </c>
    </row>
    <row r="30" spans="2:24" x14ac:dyDescent="0.25">
      <c r="C30" t="s">
        <v>12</v>
      </c>
      <c r="D30" s="1">
        <v>30390280</v>
      </c>
      <c r="E30" s="1">
        <v>30199296</v>
      </c>
      <c r="F30" s="1">
        <v>30030529</v>
      </c>
      <c r="G30" s="1">
        <v>29797637</v>
      </c>
      <c r="H30" s="1">
        <v>29633996</v>
      </c>
      <c r="I30" s="1">
        <v>29451195</v>
      </c>
      <c r="J30" s="1">
        <v>29221307</v>
      </c>
      <c r="K30" s="1">
        <v>28958617</v>
      </c>
      <c r="L30" s="1">
        <v>28718176</v>
      </c>
      <c r="M30" s="1">
        <v>28569022</v>
      </c>
      <c r="O30">
        <f t="shared" si="1"/>
        <v>190984</v>
      </c>
      <c r="P30">
        <f t="shared" si="2"/>
        <v>168767</v>
      </c>
      <c r="Q30">
        <f t="shared" si="3"/>
        <v>232892</v>
      </c>
      <c r="R30">
        <f t="shared" si="4"/>
        <v>163641</v>
      </c>
      <c r="S30">
        <f t="shared" si="5"/>
        <v>182801</v>
      </c>
      <c r="T30">
        <f t="shared" si="6"/>
        <v>229888</v>
      </c>
      <c r="U30">
        <f t="shared" si="7"/>
        <v>262690</v>
      </c>
      <c r="V30">
        <f t="shared" si="8"/>
        <v>240441</v>
      </c>
      <c r="W30">
        <f t="shared" si="9"/>
        <v>149154</v>
      </c>
      <c r="X30" s="5">
        <f t="shared" si="10"/>
        <v>202000</v>
      </c>
    </row>
    <row r="31" spans="2:24" x14ac:dyDescent="0.25">
      <c r="C31" t="s">
        <v>13</v>
      </c>
      <c r="D31" s="1">
        <v>23804726</v>
      </c>
      <c r="E31" s="1">
        <v>23648752</v>
      </c>
      <c r="F31" s="1">
        <v>23509951</v>
      </c>
      <c r="G31" s="1">
        <v>23317648</v>
      </c>
      <c r="H31" s="1">
        <v>23182564</v>
      </c>
      <c r="I31" s="1">
        <v>23030595</v>
      </c>
      <c r="J31" s="1">
        <v>22838259</v>
      </c>
      <c r="K31" s="1">
        <v>22617802</v>
      </c>
      <c r="L31" s="1">
        <v>22415706</v>
      </c>
      <c r="M31" s="1">
        <v>22290332</v>
      </c>
      <c r="O31">
        <f t="shared" si="1"/>
        <v>155974</v>
      </c>
      <c r="P31">
        <f t="shared" si="2"/>
        <v>138801</v>
      </c>
      <c r="Q31">
        <f t="shared" si="3"/>
        <v>192303</v>
      </c>
      <c r="R31">
        <f t="shared" si="4"/>
        <v>135084</v>
      </c>
      <c r="S31">
        <f t="shared" si="5"/>
        <v>151969</v>
      </c>
      <c r="T31">
        <f t="shared" si="6"/>
        <v>192336</v>
      </c>
      <c r="U31">
        <f t="shared" si="7"/>
        <v>220457</v>
      </c>
      <c r="V31">
        <f t="shared" si="8"/>
        <v>202096</v>
      </c>
      <c r="W31">
        <f t="shared" si="9"/>
        <v>125374</v>
      </c>
      <c r="X31" s="5">
        <f t="shared" si="10"/>
        <v>168000</v>
      </c>
    </row>
    <row r="32" spans="2:24" x14ac:dyDescent="0.25">
      <c r="B32" t="s">
        <v>3</v>
      </c>
      <c r="C32" t="s">
        <v>18</v>
      </c>
      <c r="D32" s="1">
        <v>10241527</v>
      </c>
      <c r="E32" s="1">
        <v>10059514</v>
      </c>
      <c r="F32" s="1">
        <v>9897911</v>
      </c>
      <c r="G32" s="1">
        <v>9695900</v>
      </c>
      <c r="H32" s="1">
        <v>9518924</v>
      </c>
      <c r="I32" s="1">
        <v>9343573</v>
      </c>
      <c r="J32" s="1">
        <v>9122408</v>
      </c>
      <c r="K32" s="1">
        <v>8869666</v>
      </c>
      <c r="L32" s="1">
        <v>8638461</v>
      </c>
      <c r="M32" s="1">
        <v>8495032</v>
      </c>
      <c r="O32">
        <f t="shared" si="1"/>
        <v>182013</v>
      </c>
      <c r="P32">
        <f t="shared" si="2"/>
        <v>161603</v>
      </c>
      <c r="Q32">
        <f t="shared" si="3"/>
        <v>202011</v>
      </c>
      <c r="R32">
        <f t="shared" si="4"/>
        <v>176976</v>
      </c>
      <c r="S32">
        <f t="shared" si="5"/>
        <v>175351</v>
      </c>
      <c r="T32">
        <f t="shared" si="6"/>
        <v>221165</v>
      </c>
      <c r="U32">
        <f t="shared" si="7"/>
        <v>252742</v>
      </c>
      <c r="V32">
        <f t="shared" si="8"/>
        <v>231205</v>
      </c>
      <c r="W32">
        <f t="shared" si="9"/>
        <v>143429</v>
      </c>
      <c r="X32" s="5">
        <f t="shared" si="10"/>
        <v>194000</v>
      </c>
    </row>
    <row r="33" spans="2:24" x14ac:dyDescent="0.25">
      <c r="C33" t="s">
        <v>16</v>
      </c>
      <c r="D33" s="1">
        <v>12941643</v>
      </c>
      <c r="E33" s="1">
        <v>12662417</v>
      </c>
      <c r="F33" s="1">
        <v>12417809</v>
      </c>
      <c r="G33" s="1">
        <v>12116102</v>
      </c>
      <c r="H33" s="1">
        <v>11855245</v>
      </c>
      <c r="I33" s="1">
        <v>11599756</v>
      </c>
      <c r="J33" s="1">
        <v>11281455</v>
      </c>
      <c r="K33" s="1">
        <v>10992695</v>
      </c>
      <c r="L33" s="1">
        <v>10598811</v>
      </c>
      <c r="M33" s="1">
        <v>10399822</v>
      </c>
      <c r="O33">
        <f t="shared" si="1"/>
        <v>279226</v>
      </c>
      <c r="P33">
        <f t="shared" si="2"/>
        <v>244608</v>
      </c>
      <c r="Q33">
        <f t="shared" si="3"/>
        <v>301707</v>
      </c>
      <c r="R33">
        <f t="shared" si="4"/>
        <v>260857</v>
      </c>
      <c r="S33">
        <f t="shared" si="5"/>
        <v>255489</v>
      </c>
      <c r="T33">
        <f t="shared" si="6"/>
        <v>318301</v>
      </c>
      <c r="U33">
        <f t="shared" si="7"/>
        <v>288760</v>
      </c>
      <c r="V33">
        <f t="shared" si="8"/>
        <v>393884</v>
      </c>
      <c r="W33">
        <f t="shared" si="9"/>
        <v>198989</v>
      </c>
      <c r="X33" s="5">
        <f t="shared" si="10"/>
        <v>282000</v>
      </c>
    </row>
    <row r="34" spans="2:24" x14ac:dyDescent="0.25">
      <c r="C34" t="s">
        <v>19</v>
      </c>
      <c r="D34" s="1">
        <v>13493581</v>
      </c>
      <c r="E34" s="1">
        <v>13187281</v>
      </c>
      <c r="F34" s="1">
        <v>12920204</v>
      </c>
      <c r="G34" s="1">
        <v>12592254</v>
      </c>
      <c r="H34" s="1">
        <v>12309915</v>
      </c>
      <c r="I34" s="1">
        <v>12034386</v>
      </c>
      <c r="J34" s="1">
        <v>11692394</v>
      </c>
      <c r="K34" s="1">
        <v>11308489</v>
      </c>
      <c r="L34" s="1">
        <v>10963200</v>
      </c>
      <c r="M34" s="1">
        <v>10751623</v>
      </c>
      <c r="O34">
        <f t="shared" si="1"/>
        <v>306300</v>
      </c>
      <c r="P34">
        <f t="shared" si="2"/>
        <v>267077</v>
      </c>
      <c r="Q34">
        <f t="shared" si="3"/>
        <v>327950</v>
      </c>
      <c r="R34">
        <f t="shared" si="4"/>
        <v>282339</v>
      </c>
      <c r="S34">
        <f t="shared" si="5"/>
        <v>275529</v>
      </c>
      <c r="T34">
        <f t="shared" si="6"/>
        <v>341992</v>
      </c>
      <c r="U34">
        <f t="shared" si="7"/>
        <v>383905</v>
      </c>
      <c r="V34">
        <f t="shared" si="8"/>
        <v>345289</v>
      </c>
      <c r="W34">
        <f t="shared" si="9"/>
        <v>211577</v>
      </c>
      <c r="X34" s="5">
        <f t="shared" si="10"/>
        <v>305000</v>
      </c>
    </row>
    <row r="35" spans="2:24" x14ac:dyDescent="0.25">
      <c r="C35" t="s">
        <v>17</v>
      </c>
      <c r="D35" s="1">
        <v>25439520</v>
      </c>
      <c r="E35" s="1">
        <v>25257422</v>
      </c>
      <c r="F35" s="1">
        <v>25095747</v>
      </c>
      <c r="G35" s="1">
        <v>24893646</v>
      </c>
      <c r="H35" s="1">
        <v>24716593</v>
      </c>
      <c r="I35" s="1">
        <v>24541168</v>
      </c>
      <c r="J35" s="1">
        <v>24319912</v>
      </c>
      <c r="K35" s="1">
        <v>24067067</v>
      </c>
      <c r="L35" s="1">
        <v>23835770</v>
      </c>
      <c r="M35" s="1">
        <v>23692286</v>
      </c>
      <c r="O35">
        <f t="shared" si="1"/>
        <v>182098</v>
      </c>
      <c r="P35">
        <f t="shared" si="2"/>
        <v>161675</v>
      </c>
      <c r="Q35">
        <f t="shared" si="3"/>
        <v>202101</v>
      </c>
      <c r="R35">
        <f t="shared" si="4"/>
        <v>177053</v>
      </c>
      <c r="S35">
        <f t="shared" si="5"/>
        <v>175425</v>
      </c>
      <c r="T35">
        <f t="shared" si="6"/>
        <v>221256</v>
      </c>
      <c r="U35">
        <f t="shared" si="7"/>
        <v>252845</v>
      </c>
      <c r="V35">
        <f t="shared" si="8"/>
        <v>231297</v>
      </c>
      <c r="W35">
        <f t="shared" si="9"/>
        <v>143484</v>
      </c>
      <c r="X35" s="5">
        <f t="shared" si="10"/>
        <v>194000</v>
      </c>
    </row>
    <row r="36" spans="2:24" x14ac:dyDescent="0.25">
      <c r="B36" t="s">
        <v>4</v>
      </c>
      <c r="C36" t="s">
        <v>1</v>
      </c>
      <c r="D36">
        <v>11722536</v>
      </c>
      <c r="E36">
        <v>11265073</v>
      </c>
      <c r="F36">
        <v>10879059</v>
      </c>
      <c r="G36">
        <v>10418713</v>
      </c>
      <c r="H36">
        <v>10032626</v>
      </c>
      <c r="I36">
        <v>9663684</v>
      </c>
      <c r="J36">
        <v>9215066</v>
      </c>
      <c r="K36">
        <v>8722063</v>
      </c>
      <c r="L36">
        <v>8286894</v>
      </c>
      <c r="M36">
        <v>8023649</v>
      </c>
      <c r="O36">
        <f t="shared" si="1"/>
        <v>457463</v>
      </c>
      <c r="P36">
        <f t="shared" si="2"/>
        <v>386014</v>
      </c>
      <c r="Q36">
        <f t="shared" si="3"/>
        <v>460346</v>
      </c>
      <c r="R36">
        <f t="shared" si="4"/>
        <v>386087</v>
      </c>
      <c r="S36">
        <f t="shared" si="5"/>
        <v>368942</v>
      </c>
      <c r="T36">
        <f t="shared" si="6"/>
        <v>448618</v>
      </c>
      <c r="U36">
        <f t="shared" si="7"/>
        <v>493003</v>
      </c>
      <c r="V36">
        <f t="shared" si="8"/>
        <v>435169</v>
      </c>
      <c r="W36">
        <f t="shared" si="9"/>
        <v>263245</v>
      </c>
      <c r="X36" s="5">
        <f t="shared" si="10"/>
        <v>411000</v>
      </c>
    </row>
    <row r="37" spans="2:24" x14ac:dyDescent="0.25">
      <c r="C37" t="s">
        <v>12</v>
      </c>
      <c r="D37" s="1">
        <v>36962374</v>
      </c>
      <c r="E37" s="1">
        <v>36542665</v>
      </c>
      <c r="F37" s="1">
        <v>36190987</v>
      </c>
      <c r="G37" s="1">
        <v>35718708</v>
      </c>
      <c r="H37" s="1">
        <v>35402700</v>
      </c>
      <c r="I37" s="1">
        <v>35058121</v>
      </c>
      <c r="J37" s="1">
        <v>34634197</v>
      </c>
      <c r="K37" s="1">
        <v>34166118</v>
      </c>
      <c r="L37" s="1">
        <v>33751300</v>
      </c>
      <c r="M37" s="1">
        <v>33500178</v>
      </c>
      <c r="O37">
        <f t="shared" si="1"/>
        <v>419709</v>
      </c>
      <c r="P37">
        <f t="shared" si="2"/>
        <v>351678</v>
      </c>
      <c r="Q37">
        <f t="shared" si="3"/>
        <v>472279</v>
      </c>
      <c r="R37">
        <f t="shared" si="4"/>
        <v>316008</v>
      </c>
      <c r="S37">
        <f t="shared" si="5"/>
        <v>344579</v>
      </c>
      <c r="T37">
        <f t="shared" si="6"/>
        <v>423924</v>
      </c>
      <c r="U37">
        <f t="shared" si="7"/>
        <v>468079</v>
      </c>
      <c r="V37">
        <f t="shared" si="8"/>
        <v>414818</v>
      </c>
      <c r="W37">
        <f t="shared" si="9"/>
        <v>251122</v>
      </c>
      <c r="X37" s="5">
        <f t="shared" si="10"/>
        <v>385000</v>
      </c>
    </row>
    <row r="38" spans="2:24" x14ac:dyDescent="0.25">
      <c r="C38" t="s">
        <v>13</v>
      </c>
      <c r="D38" s="1">
        <v>24148547</v>
      </c>
      <c r="E38" s="1">
        <v>23987426</v>
      </c>
      <c r="F38" s="1">
        <v>23844332</v>
      </c>
      <c r="G38" s="1">
        <v>23646116</v>
      </c>
      <c r="H38" s="1">
        <v>23506777</v>
      </c>
      <c r="I38" s="1">
        <v>23350276</v>
      </c>
      <c r="J38" s="1">
        <v>23152819</v>
      </c>
      <c r="K38" s="1">
        <v>22925923</v>
      </c>
      <c r="L38" s="1">
        <v>22717999</v>
      </c>
      <c r="M38" s="1">
        <v>22589682</v>
      </c>
      <c r="O38">
        <f t="shared" si="1"/>
        <v>161121</v>
      </c>
      <c r="P38">
        <f t="shared" si="2"/>
        <v>143094</v>
      </c>
      <c r="Q38">
        <f t="shared" si="3"/>
        <v>198216</v>
      </c>
      <c r="R38">
        <f t="shared" si="4"/>
        <v>139339</v>
      </c>
      <c r="S38">
        <f t="shared" si="5"/>
        <v>156501</v>
      </c>
      <c r="T38">
        <f t="shared" si="6"/>
        <v>197457</v>
      </c>
      <c r="U38">
        <f t="shared" si="7"/>
        <v>226896</v>
      </c>
      <c r="V38">
        <f t="shared" si="8"/>
        <v>207924</v>
      </c>
      <c r="W38">
        <f t="shared" si="9"/>
        <v>128317</v>
      </c>
      <c r="X38" s="5">
        <f t="shared" si="10"/>
        <v>173000</v>
      </c>
    </row>
    <row r="39" spans="2:24" x14ac:dyDescent="0.25">
      <c r="B39" t="s">
        <v>5</v>
      </c>
      <c r="C39" t="s">
        <v>1</v>
      </c>
      <c r="D39">
        <v>11256961</v>
      </c>
      <c r="E39">
        <v>10843917</v>
      </c>
      <c r="F39">
        <v>10491614</v>
      </c>
      <c r="G39">
        <v>10067599</v>
      </c>
      <c r="H39">
        <v>9709155</v>
      </c>
      <c r="I39">
        <v>9364518</v>
      </c>
      <c r="J39">
        <v>8943000</v>
      </c>
      <c r="K39">
        <v>8477058</v>
      </c>
      <c r="L39">
        <v>8063703</v>
      </c>
      <c r="M39">
        <v>7812812</v>
      </c>
      <c r="O39">
        <f t="shared" si="1"/>
        <v>413044</v>
      </c>
      <c r="P39">
        <f t="shared" si="2"/>
        <v>352303</v>
      </c>
      <c r="Q39">
        <f t="shared" si="3"/>
        <v>424015</v>
      </c>
      <c r="R39">
        <f t="shared" si="4"/>
        <v>358444</v>
      </c>
      <c r="S39">
        <f t="shared" si="5"/>
        <v>344637</v>
      </c>
      <c r="T39">
        <f t="shared" si="6"/>
        <v>421518</v>
      </c>
      <c r="U39">
        <f t="shared" si="7"/>
        <v>465942</v>
      </c>
      <c r="V39">
        <f t="shared" si="8"/>
        <v>413355</v>
      </c>
      <c r="W39">
        <f t="shared" si="9"/>
        <v>250891</v>
      </c>
      <c r="X39" s="5">
        <f t="shared" si="10"/>
        <v>383000</v>
      </c>
    </row>
    <row r="40" spans="2:24" x14ac:dyDescent="0.25">
      <c r="C40" t="s">
        <v>0</v>
      </c>
      <c r="D40">
        <v>20117293</v>
      </c>
      <c r="E40">
        <v>19581064</v>
      </c>
      <c r="F40">
        <v>19139288</v>
      </c>
      <c r="G40">
        <v>18565856</v>
      </c>
      <c r="H40">
        <v>18187496</v>
      </c>
      <c r="I40">
        <v>17781049</v>
      </c>
      <c r="J40">
        <v>17291629</v>
      </c>
      <c r="K40">
        <v>16758730</v>
      </c>
      <c r="L40">
        <v>16291196</v>
      </c>
      <c r="M40">
        <v>16011059</v>
      </c>
      <c r="O40">
        <f t="shared" si="1"/>
        <v>536229</v>
      </c>
      <c r="P40">
        <f t="shared" si="2"/>
        <v>441776</v>
      </c>
      <c r="Q40">
        <f t="shared" si="3"/>
        <v>573432</v>
      </c>
      <c r="R40">
        <f t="shared" si="4"/>
        <v>378360</v>
      </c>
      <c r="S40">
        <f t="shared" si="5"/>
        <v>406447</v>
      </c>
      <c r="T40">
        <f t="shared" si="6"/>
        <v>489420</v>
      </c>
      <c r="U40">
        <f t="shared" si="7"/>
        <v>532899</v>
      </c>
      <c r="V40">
        <f t="shared" si="8"/>
        <v>467534</v>
      </c>
      <c r="W40">
        <f t="shared" si="9"/>
        <v>280137</v>
      </c>
      <c r="X40" s="5">
        <f t="shared" si="10"/>
        <v>456000</v>
      </c>
    </row>
    <row r="41" spans="2:24" x14ac:dyDescent="0.25">
      <c r="C41" t="s">
        <v>13</v>
      </c>
      <c r="D41" s="1">
        <v>25688478</v>
      </c>
      <c r="E41" s="1">
        <v>25917214</v>
      </c>
      <c r="F41" s="1">
        <v>26120249</v>
      </c>
      <c r="G41" s="1">
        <v>26397447</v>
      </c>
      <c r="H41" s="1">
        <v>26589888</v>
      </c>
      <c r="I41" s="1">
        <v>26805213</v>
      </c>
      <c r="J41" s="1">
        <v>27076738</v>
      </c>
      <c r="K41" s="1">
        <v>27384314</v>
      </c>
      <c r="L41" s="1">
        <v>27662684</v>
      </c>
      <c r="M41" s="1">
        <v>27835342</v>
      </c>
      <c r="O41">
        <f t="shared" si="1"/>
        <v>228736</v>
      </c>
      <c r="P41">
        <f t="shared" si="2"/>
        <v>203035</v>
      </c>
      <c r="Q41">
        <f t="shared" si="3"/>
        <v>277198</v>
      </c>
      <c r="R41">
        <f t="shared" si="4"/>
        <v>192441</v>
      </c>
      <c r="S41">
        <f t="shared" si="5"/>
        <v>215325</v>
      </c>
      <c r="T41">
        <f t="shared" si="6"/>
        <v>271525</v>
      </c>
      <c r="U41">
        <f t="shared" si="7"/>
        <v>307576</v>
      </c>
      <c r="V41">
        <f t="shared" si="8"/>
        <v>278370</v>
      </c>
      <c r="W41">
        <f t="shared" si="9"/>
        <v>172658</v>
      </c>
      <c r="X41" s="5">
        <f t="shared" si="10"/>
        <v>239000</v>
      </c>
    </row>
    <row r="42" spans="2:24" x14ac:dyDescent="0.25">
      <c r="B42" t="s">
        <v>6</v>
      </c>
      <c r="C42" t="s">
        <v>1</v>
      </c>
      <c r="D42">
        <v>6324828</v>
      </c>
      <c r="E42">
        <v>6169798</v>
      </c>
      <c r="F42">
        <v>6031773</v>
      </c>
      <c r="G42">
        <v>5858741</v>
      </c>
      <c r="H42">
        <v>5706713</v>
      </c>
      <c r="I42">
        <v>5555686</v>
      </c>
      <c r="J42">
        <v>5364653</v>
      </c>
      <c r="K42">
        <v>5145615</v>
      </c>
      <c r="L42">
        <v>4944581</v>
      </c>
      <c r="M42">
        <v>4819561</v>
      </c>
      <c r="O42">
        <f t="shared" si="1"/>
        <v>155030</v>
      </c>
      <c r="P42">
        <f t="shared" si="2"/>
        <v>138025</v>
      </c>
      <c r="Q42">
        <f t="shared" si="3"/>
        <v>173032</v>
      </c>
      <c r="R42">
        <f t="shared" si="4"/>
        <v>152028</v>
      </c>
      <c r="S42">
        <f t="shared" si="5"/>
        <v>151027</v>
      </c>
      <c r="T42">
        <f t="shared" si="6"/>
        <v>191033</v>
      </c>
      <c r="U42">
        <f t="shared" si="7"/>
        <v>219038</v>
      </c>
      <c r="V42">
        <f t="shared" si="8"/>
        <v>201034</v>
      </c>
      <c r="W42">
        <f t="shared" si="9"/>
        <v>125020</v>
      </c>
      <c r="X42" s="5">
        <f t="shared" si="10"/>
        <v>167000</v>
      </c>
    </row>
    <row r="43" spans="2:24" x14ac:dyDescent="0.25">
      <c r="C43" t="s">
        <v>11</v>
      </c>
      <c r="D43" s="1">
        <v>28825797</v>
      </c>
      <c r="E43" s="1">
        <v>28282439</v>
      </c>
      <c r="F43" s="1">
        <v>27834448</v>
      </c>
      <c r="G43" s="1">
        <v>27309997</v>
      </c>
      <c r="H43" s="1">
        <v>26876793</v>
      </c>
      <c r="I43" s="1">
        <v>26467492</v>
      </c>
      <c r="J43" s="1">
        <v>25974944</v>
      </c>
      <c r="K43" s="1">
        <v>25439107</v>
      </c>
      <c r="L43" s="1">
        <v>24970097</v>
      </c>
      <c r="M43" s="1">
        <v>24687944</v>
      </c>
      <c r="O43">
        <f t="shared" si="1"/>
        <v>543358</v>
      </c>
      <c r="P43">
        <f t="shared" si="2"/>
        <v>447991</v>
      </c>
      <c r="Q43">
        <f t="shared" si="3"/>
        <v>524451</v>
      </c>
      <c r="R43">
        <f t="shared" si="4"/>
        <v>433204</v>
      </c>
      <c r="S43">
        <f t="shared" si="5"/>
        <v>409301</v>
      </c>
      <c r="T43">
        <f t="shared" si="6"/>
        <v>492548</v>
      </c>
      <c r="U43">
        <f t="shared" si="7"/>
        <v>535837</v>
      </c>
      <c r="V43">
        <f t="shared" si="8"/>
        <v>469010</v>
      </c>
      <c r="W43">
        <f t="shared" si="9"/>
        <v>282153</v>
      </c>
      <c r="X43" s="5">
        <f t="shared" si="10"/>
        <v>460000</v>
      </c>
    </row>
    <row r="44" spans="2:24" x14ac:dyDescent="0.25">
      <c r="C44" t="s">
        <v>12</v>
      </c>
      <c r="D44" s="1">
        <v>39063930</v>
      </c>
      <c r="E44" s="1">
        <v>38456289</v>
      </c>
      <c r="F44" s="1">
        <v>37965489</v>
      </c>
      <c r="G44" s="1">
        <v>37339184</v>
      </c>
      <c r="H44" s="1">
        <v>36931602</v>
      </c>
      <c r="I44" s="1">
        <v>36497529</v>
      </c>
      <c r="J44" s="1">
        <v>35978173</v>
      </c>
      <c r="K44" s="1">
        <v>35415212</v>
      </c>
      <c r="L44" s="1">
        <v>34926812</v>
      </c>
      <c r="M44" s="1">
        <v>34633322</v>
      </c>
      <c r="O44">
        <f t="shared" si="1"/>
        <v>607641</v>
      </c>
      <c r="P44">
        <f t="shared" si="2"/>
        <v>490800</v>
      </c>
      <c r="Q44">
        <f t="shared" si="3"/>
        <v>626305</v>
      </c>
      <c r="R44">
        <f t="shared" si="4"/>
        <v>407582</v>
      </c>
      <c r="S44">
        <f t="shared" si="5"/>
        <v>434073</v>
      </c>
      <c r="T44">
        <f t="shared" si="6"/>
        <v>519356</v>
      </c>
      <c r="U44">
        <f t="shared" si="7"/>
        <v>562961</v>
      </c>
      <c r="V44">
        <f t="shared" si="8"/>
        <v>488400</v>
      </c>
      <c r="W44">
        <f t="shared" si="9"/>
        <v>293490</v>
      </c>
      <c r="X44" s="5">
        <f t="shared" si="10"/>
        <v>492000</v>
      </c>
    </row>
    <row r="45" spans="2:24" x14ac:dyDescent="0.25">
      <c r="B45" t="s">
        <v>8</v>
      </c>
      <c r="C45" t="s">
        <v>1</v>
      </c>
      <c r="D45">
        <v>7630180</v>
      </c>
      <c r="E45">
        <v>7428947</v>
      </c>
      <c r="F45">
        <v>7250679</v>
      </c>
      <c r="G45">
        <v>7028341</v>
      </c>
      <c r="H45">
        <v>6834002</v>
      </c>
      <c r="I45">
        <v>6641842</v>
      </c>
      <c r="J45">
        <v>6400015</v>
      </c>
      <c r="K45">
        <v>6124364</v>
      </c>
      <c r="L45">
        <v>5872830</v>
      </c>
      <c r="M45">
        <v>5717079</v>
      </c>
      <c r="O45">
        <f t="shared" si="1"/>
        <v>201233</v>
      </c>
      <c r="P45">
        <f t="shared" si="2"/>
        <v>178268</v>
      </c>
      <c r="Q45">
        <f t="shared" si="3"/>
        <v>222338</v>
      </c>
      <c r="R45">
        <f t="shared" si="4"/>
        <v>194339</v>
      </c>
      <c r="S45">
        <f t="shared" si="5"/>
        <v>192160</v>
      </c>
      <c r="T45">
        <f t="shared" si="6"/>
        <v>241827</v>
      </c>
      <c r="U45">
        <f t="shared" si="7"/>
        <v>275651</v>
      </c>
      <c r="V45">
        <f t="shared" si="8"/>
        <v>251534</v>
      </c>
      <c r="W45">
        <f t="shared" si="9"/>
        <v>155751</v>
      </c>
      <c r="X45" s="5">
        <f t="shared" si="10"/>
        <v>213000</v>
      </c>
    </row>
    <row r="46" spans="2:24" x14ac:dyDescent="0.25">
      <c r="C46" t="s">
        <v>0</v>
      </c>
      <c r="D46">
        <v>13932455</v>
      </c>
      <c r="E46">
        <v>13734171</v>
      </c>
      <c r="F46">
        <v>13559263</v>
      </c>
      <c r="G46">
        <v>13318817</v>
      </c>
      <c r="H46">
        <v>13150031</v>
      </c>
      <c r="I46">
        <v>12961568</v>
      </c>
      <c r="J46">
        <v>12722865</v>
      </c>
      <c r="K46">
        <v>12451974</v>
      </c>
      <c r="L46">
        <v>12203557</v>
      </c>
      <c r="M46">
        <v>12050430</v>
      </c>
      <c r="O46">
        <f t="shared" si="1"/>
        <v>198284</v>
      </c>
      <c r="P46">
        <f t="shared" si="2"/>
        <v>174908</v>
      </c>
      <c r="Q46">
        <f t="shared" si="3"/>
        <v>240446</v>
      </c>
      <c r="R46">
        <f t="shared" si="4"/>
        <v>168786</v>
      </c>
      <c r="S46">
        <f t="shared" si="5"/>
        <v>188463</v>
      </c>
      <c r="T46">
        <f t="shared" si="6"/>
        <v>238703</v>
      </c>
      <c r="U46">
        <f t="shared" si="7"/>
        <v>270891</v>
      </c>
      <c r="V46">
        <f t="shared" si="8"/>
        <v>248417</v>
      </c>
      <c r="W46">
        <f t="shared" si="9"/>
        <v>153127</v>
      </c>
      <c r="X46" s="5">
        <f t="shared" si="10"/>
        <v>209000</v>
      </c>
    </row>
    <row r="47" spans="2:24" x14ac:dyDescent="0.25">
      <c r="C47" t="s">
        <v>2</v>
      </c>
      <c r="D47" s="1">
        <v>9343914</v>
      </c>
      <c r="E47" s="1">
        <v>9184557</v>
      </c>
      <c r="F47" s="1">
        <v>9044646</v>
      </c>
      <c r="G47" s="1">
        <v>8849884</v>
      </c>
      <c r="H47" s="1">
        <v>8713462</v>
      </c>
      <c r="I47" s="1">
        <v>8558702</v>
      </c>
      <c r="J47" s="1">
        <v>8365027</v>
      </c>
      <c r="K47" s="1">
        <v>8142214</v>
      </c>
      <c r="L47" s="1">
        <v>7936360</v>
      </c>
      <c r="M47" s="1">
        <v>7808951</v>
      </c>
      <c r="O47">
        <f t="shared" si="1"/>
        <v>159357</v>
      </c>
      <c r="P47">
        <f t="shared" si="2"/>
        <v>139911</v>
      </c>
      <c r="Q47">
        <f t="shared" si="3"/>
        <v>194762</v>
      </c>
      <c r="R47">
        <f t="shared" si="4"/>
        <v>136422</v>
      </c>
      <c r="S47">
        <f t="shared" si="5"/>
        <v>154760</v>
      </c>
      <c r="T47">
        <f t="shared" si="6"/>
        <v>193675</v>
      </c>
      <c r="U47">
        <f t="shared" si="7"/>
        <v>222813</v>
      </c>
      <c r="V47">
        <f t="shared" si="8"/>
        <v>205854</v>
      </c>
      <c r="W47">
        <f t="shared" si="9"/>
        <v>127409</v>
      </c>
      <c r="X47" s="5">
        <f t="shared" si="10"/>
        <v>171000</v>
      </c>
    </row>
    <row r="48" spans="2:24" x14ac:dyDescent="0.25">
      <c r="C48" t="s">
        <v>11</v>
      </c>
      <c r="D48" s="1">
        <v>21842365</v>
      </c>
      <c r="E48" s="1">
        <v>21641825</v>
      </c>
      <c r="F48" s="1">
        <v>21464155</v>
      </c>
      <c r="G48" s="1">
        <v>21242545</v>
      </c>
      <c r="H48" s="1">
        <v>21048826</v>
      </c>
      <c r="I48" s="1">
        <v>20857265</v>
      </c>
      <c r="J48" s="1">
        <v>20616171</v>
      </c>
      <c r="K48" s="1">
        <v>20341329</v>
      </c>
      <c r="L48" s="1">
        <v>20090510</v>
      </c>
      <c r="M48" s="1">
        <v>19935193</v>
      </c>
      <c r="O48">
        <f t="shared" si="1"/>
        <v>200540</v>
      </c>
      <c r="P48">
        <f t="shared" si="2"/>
        <v>177670</v>
      </c>
      <c r="Q48">
        <f t="shared" si="3"/>
        <v>221610</v>
      </c>
      <c r="R48">
        <f t="shared" si="4"/>
        <v>193719</v>
      </c>
      <c r="S48">
        <f t="shared" si="5"/>
        <v>191561</v>
      </c>
      <c r="T48">
        <f t="shared" si="6"/>
        <v>241094</v>
      </c>
      <c r="U48">
        <f t="shared" si="7"/>
        <v>274842</v>
      </c>
      <c r="V48">
        <f t="shared" si="8"/>
        <v>250819</v>
      </c>
      <c r="W48">
        <f t="shared" si="9"/>
        <v>155317</v>
      </c>
      <c r="X48" s="5">
        <f t="shared" si="10"/>
        <v>212000</v>
      </c>
    </row>
    <row r="49" spans="2:24" x14ac:dyDescent="0.25">
      <c r="C49" t="s">
        <v>12</v>
      </c>
      <c r="D49" s="1">
        <v>30811326</v>
      </c>
      <c r="E49" s="1">
        <v>30611456</v>
      </c>
      <c r="F49" s="1">
        <v>30436968</v>
      </c>
      <c r="G49" s="1">
        <v>30195442</v>
      </c>
      <c r="H49" s="1">
        <v>30025591</v>
      </c>
      <c r="I49" s="1">
        <v>29836394</v>
      </c>
      <c r="J49" s="1">
        <v>29597652</v>
      </c>
      <c r="K49" s="1">
        <v>29325258</v>
      </c>
      <c r="L49" s="1">
        <v>29076433</v>
      </c>
      <c r="M49" s="1">
        <v>28922663</v>
      </c>
      <c r="O49">
        <f t="shared" si="1"/>
        <v>199870</v>
      </c>
      <c r="P49">
        <f t="shared" si="2"/>
        <v>174488</v>
      </c>
      <c r="Q49">
        <f t="shared" si="3"/>
        <v>241526</v>
      </c>
      <c r="R49">
        <f t="shared" si="4"/>
        <v>169851</v>
      </c>
      <c r="S49">
        <f t="shared" si="5"/>
        <v>189197</v>
      </c>
      <c r="T49">
        <f t="shared" si="6"/>
        <v>238742</v>
      </c>
      <c r="U49">
        <f t="shared" si="7"/>
        <v>272394</v>
      </c>
      <c r="V49">
        <f t="shared" si="8"/>
        <v>248825</v>
      </c>
      <c r="W49">
        <f t="shared" si="9"/>
        <v>153770</v>
      </c>
      <c r="X49" s="5">
        <f t="shared" si="10"/>
        <v>210000</v>
      </c>
    </row>
    <row r="50" spans="2:24" x14ac:dyDescent="0.25">
      <c r="C50" t="s">
        <v>13</v>
      </c>
      <c r="D50" s="1">
        <v>23743591</v>
      </c>
      <c r="E50" s="1">
        <v>23588402</v>
      </c>
      <c r="F50" s="1">
        <v>23450057</v>
      </c>
      <c r="G50" s="1">
        <v>23259627</v>
      </c>
      <c r="H50" s="1">
        <v>23124541</v>
      </c>
      <c r="I50" s="1">
        <v>22974268</v>
      </c>
      <c r="J50" s="1">
        <v>22782945</v>
      </c>
      <c r="K50" s="1">
        <v>22564654</v>
      </c>
      <c r="L50" s="1">
        <v>22363024</v>
      </c>
      <c r="M50" s="1">
        <v>22238330</v>
      </c>
      <c r="O50">
        <f t="shared" si="1"/>
        <v>155189</v>
      </c>
      <c r="P50">
        <f t="shared" si="2"/>
        <v>138345</v>
      </c>
      <c r="Q50">
        <f t="shared" si="3"/>
        <v>190430</v>
      </c>
      <c r="R50">
        <f t="shared" si="4"/>
        <v>135086</v>
      </c>
      <c r="S50">
        <f t="shared" si="5"/>
        <v>150273</v>
      </c>
      <c r="T50">
        <f t="shared" si="6"/>
        <v>191323</v>
      </c>
      <c r="U50">
        <f t="shared" si="7"/>
        <v>218291</v>
      </c>
      <c r="V50">
        <f t="shared" si="8"/>
        <v>201630</v>
      </c>
      <c r="W50">
        <f t="shared" si="9"/>
        <v>124694</v>
      </c>
      <c r="X50" s="5">
        <f t="shared" si="10"/>
        <v>167000</v>
      </c>
    </row>
    <row r="51" spans="2:24" x14ac:dyDescent="0.25">
      <c r="B51" t="s">
        <v>9</v>
      </c>
      <c r="C51" t="s">
        <v>18</v>
      </c>
      <c r="D51" s="1">
        <v>10404569</v>
      </c>
      <c r="E51" s="1">
        <v>10217879</v>
      </c>
      <c r="F51" s="1">
        <v>10052211</v>
      </c>
      <c r="G51" s="1">
        <v>9845228</v>
      </c>
      <c r="H51" s="1">
        <v>9663995</v>
      </c>
      <c r="I51" s="1">
        <v>9484513</v>
      </c>
      <c r="J51" s="1">
        <v>9258258</v>
      </c>
      <c r="K51" s="1">
        <v>8999855</v>
      </c>
      <c r="L51" s="1">
        <v>8763612</v>
      </c>
      <c r="M51" s="1">
        <v>8617124</v>
      </c>
      <c r="O51">
        <f t="shared" si="1"/>
        <v>186690</v>
      </c>
      <c r="P51">
        <f t="shared" si="2"/>
        <v>165668</v>
      </c>
      <c r="Q51">
        <f t="shared" si="3"/>
        <v>206983</v>
      </c>
      <c r="R51">
        <f t="shared" si="4"/>
        <v>181233</v>
      </c>
      <c r="S51">
        <f t="shared" si="5"/>
        <v>179482</v>
      </c>
      <c r="T51">
        <f t="shared" si="6"/>
        <v>226255</v>
      </c>
      <c r="U51">
        <f t="shared" si="7"/>
        <v>258403</v>
      </c>
      <c r="V51">
        <f t="shared" si="8"/>
        <v>236243</v>
      </c>
      <c r="W51">
        <f t="shared" si="9"/>
        <v>146488</v>
      </c>
      <c r="X51" s="5">
        <f t="shared" si="10"/>
        <v>199000</v>
      </c>
    </row>
    <row r="52" spans="2:24" x14ac:dyDescent="0.25">
      <c r="C52" t="s">
        <v>16</v>
      </c>
      <c r="D52" s="1">
        <v>9365409</v>
      </c>
      <c r="E52" s="1">
        <v>9206705</v>
      </c>
      <c r="F52" s="1">
        <v>9065457</v>
      </c>
      <c r="G52" s="1">
        <v>8888450</v>
      </c>
      <c r="H52" s="1">
        <v>8732988</v>
      </c>
      <c r="I52" s="1">
        <v>8578602</v>
      </c>
      <c r="J52" s="1">
        <v>8383391</v>
      </c>
      <c r="K52" s="1">
        <v>8159661</v>
      </c>
      <c r="L52" s="1">
        <v>7954410</v>
      </c>
      <c r="M52" s="1">
        <v>7826807</v>
      </c>
      <c r="O52">
        <f t="shared" si="1"/>
        <v>158704</v>
      </c>
      <c r="P52">
        <f t="shared" si="2"/>
        <v>141248</v>
      </c>
      <c r="Q52">
        <f t="shared" si="3"/>
        <v>177007</v>
      </c>
      <c r="R52">
        <f t="shared" si="4"/>
        <v>155462</v>
      </c>
      <c r="S52">
        <f t="shared" si="5"/>
        <v>154386</v>
      </c>
      <c r="T52">
        <f t="shared" si="6"/>
        <v>195211</v>
      </c>
      <c r="U52">
        <f t="shared" si="7"/>
        <v>223730</v>
      </c>
      <c r="V52">
        <f t="shared" si="8"/>
        <v>205251</v>
      </c>
      <c r="W52">
        <f t="shared" si="9"/>
        <v>127603</v>
      </c>
      <c r="X52" s="5">
        <f t="shared" si="10"/>
        <v>171000</v>
      </c>
    </row>
    <row r="53" spans="2:24" x14ac:dyDescent="0.25">
      <c r="C53" t="s">
        <v>2</v>
      </c>
      <c r="D53" s="1">
        <v>9304651</v>
      </c>
      <c r="E53" s="1">
        <v>9147459</v>
      </c>
      <c r="F53" s="1">
        <v>9007536</v>
      </c>
      <c r="G53" s="1">
        <v>8832164</v>
      </c>
      <c r="H53" s="1">
        <v>8678114</v>
      </c>
      <c r="I53" s="1">
        <v>8525108</v>
      </c>
      <c r="J53" s="1">
        <v>8331613</v>
      </c>
      <c r="K53" s="1">
        <v>8109810</v>
      </c>
      <c r="L53" s="1">
        <v>7906290</v>
      </c>
      <c r="M53" s="1">
        <v>7779747</v>
      </c>
      <c r="O53">
        <f t="shared" si="1"/>
        <v>157192</v>
      </c>
      <c r="P53">
        <f t="shared" si="2"/>
        <v>139923</v>
      </c>
      <c r="Q53">
        <f t="shared" si="3"/>
        <v>175372</v>
      </c>
      <c r="R53">
        <f t="shared" si="4"/>
        <v>154050</v>
      </c>
      <c r="S53">
        <f t="shared" si="5"/>
        <v>153006</v>
      </c>
      <c r="T53">
        <f t="shared" si="6"/>
        <v>193495</v>
      </c>
      <c r="U53">
        <f t="shared" si="7"/>
        <v>221803</v>
      </c>
      <c r="V53">
        <f t="shared" si="8"/>
        <v>203520</v>
      </c>
      <c r="W53">
        <f t="shared" si="9"/>
        <v>126543</v>
      </c>
      <c r="X53" s="5">
        <f t="shared" si="10"/>
        <v>169000</v>
      </c>
    </row>
    <row r="54" spans="2:24" x14ac:dyDescent="0.25">
      <c r="C54" t="s">
        <v>19</v>
      </c>
      <c r="D54" s="1">
        <v>9969678</v>
      </c>
      <c r="E54" s="1">
        <v>9795223</v>
      </c>
      <c r="F54" s="1">
        <v>9640204</v>
      </c>
      <c r="G54" s="1">
        <v>9446261</v>
      </c>
      <c r="H54" s="1">
        <v>9276208</v>
      </c>
      <c r="I54" s="1">
        <v>9107588</v>
      </c>
      <c r="J54" s="1">
        <v>8894734</v>
      </c>
      <c r="K54" s="1">
        <v>8651255</v>
      </c>
      <c r="L54" s="1">
        <v>8428312</v>
      </c>
      <c r="M54" s="1">
        <v>8289910</v>
      </c>
      <c r="O54">
        <f t="shared" si="1"/>
        <v>174455</v>
      </c>
      <c r="P54">
        <f t="shared" si="2"/>
        <v>155019</v>
      </c>
      <c r="Q54">
        <f t="shared" si="3"/>
        <v>193943</v>
      </c>
      <c r="R54">
        <f t="shared" si="4"/>
        <v>170053</v>
      </c>
      <c r="S54">
        <f t="shared" si="5"/>
        <v>168620</v>
      </c>
      <c r="T54">
        <f t="shared" si="6"/>
        <v>212854</v>
      </c>
      <c r="U54">
        <f t="shared" si="7"/>
        <v>243479</v>
      </c>
      <c r="V54">
        <f t="shared" si="8"/>
        <v>222943</v>
      </c>
      <c r="W54">
        <f t="shared" si="9"/>
        <v>138402</v>
      </c>
      <c r="X54" s="5">
        <f t="shared" si="10"/>
        <v>187000</v>
      </c>
    </row>
    <row r="55" spans="2:24" x14ac:dyDescent="0.25">
      <c r="C55" t="s">
        <v>17</v>
      </c>
      <c r="D55" s="1">
        <v>25723131</v>
      </c>
      <c r="E55" s="1">
        <v>25535872</v>
      </c>
      <c r="F55" s="1">
        <v>25369709</v>
      </c>
      <c r="G55" s="1">
        <v>25162122</v>
      </c>
      <c r="H55" s="1">
        <v>24980372</v>
      </c>
      <c r="I55" s="1">
        <v>24800389</v>
      </c>
      <c r="J55" s="1">
        <v>24573517</v>
      </c>
      <c r="K55" s="1">
        <v>24314430</v>
      </c>
      <c r="L55" s="1">
        <v>24077578</v>
      </c>
      <c r="M55" s="1">
        <v>23930720</v>
      </c>
      <c r="O55">
        <f t="shared" si="1"/>
        <v>187259</v>
      </c>
      <c r="P55">
        <f t="shared" si="2"/>
        <v>166163</v>
      </c>
      <c r="Q55">
        <f t="shared" si="3"/>
        <v>207587</v>
      </c>
      <c r="R55">
        <f t="shared" si="4"/>
        <v>181750</v>
      </c>
      <c r="S55">
        <f t="shared" si="5"/>
        <v>179983</v>
      </c>
      <c r="T55">
        <f t="shared" si="6"/>
        <v>226872</v>
      </c>
      <c r="U55">
        <f t="shared" si="7"/>
        <v>259087</v>
      </c>
      <c r="V55">
        <f t="shared" si="8"/>
        <v>236852</v>
      </c>
      <c r="W55">
        <f t="shared" si="9"/>
        <v>146858</v>
      </c>
      <c r="X55" s="5">
        <f t="shared" si="10"/>
        <v>199000</v>
      </c>
    </row>
    <row r="56" spans="2:24" x14ac:dyDescent="0.25">
      <c r="B56" t="s">
        <v>10</v>
      </c>
      <c r="C56" t="s">
        <v>18</v>
      </c>
      <c r="D56" s="1">
        <v>11376112</v>
      </c>
      <c r="E56" s="1">
        <v>11158873</v>
      </c>
      <c r="F56" s="1">
        <v>10966813</v>
      </c>
      <c r="G56" s="1">
        <v>10727763</v>
      </c>
      <c r="H56" s="1">
        <v>10519241</v>
      </c>
      <c r="I56" s="1">
        <v>10313430</v>
      </c>
      <c r="J56" s="1">
        <v>10054928</v>
      </c>
      <c r="K56" s="1">
        <v>9760921</v>
      </c>
      <c r="L56" s="1">
        <v>9493210</v>
      </c>
      <c r="M56" s="1">
        <v>9327706</v>
      </c>
      <c r="O56">
        <f t="shared" si="1"/>
        <v>217239</v>
      </c>
      <c r="P56">
        <f t="shared" si="2"/>
        <v>192060</v>
      </c>
      <c r="Q56">
        <f t="shared" si="3"/>
        <v>239050</v>
      </c>
      <c r="R56">
        <f t="shared" si="4"/>
        <v>208522</v>
      </c>
      <c r="S56">
        <f t="shared" si="5"/>
        <v>205811</v>
      </c>
      <c r="T56">
        <f t="shared" si="6"/>
        <v>258502</v>
      </c>
      <c r="U56">
        <f t="shared" si="7"/>
        <v>294007</v>
      </c>
      <c r="V56">
        <f t="shared" si="8"/>
        <v>267711</v>
      </c>
      <c r="W56">
        <f t="shared" si="9"/>
        <v>165504</v>
      </c>
      <c r="X56" s="5">
        <f t="shared" si="10"/>
        <v>228000</v>
      </c>
    </row>
    <row r="57" spans="2:24" x14ac:dyDescent="0.25">
      <c r="C57" t="s">
        <v>2</v>
      </c>
      <c r="D57" s="1">
        <v>9397645</v>
      </c>
      <c r="E57" s="1">
        <v>9238133</v>
      </c>
      <c r="F57" s="1">
        <v>9096178</v>
      </c>
      <c r="G57" s="1">
        <v>8918299</v>
      </c>
      <c r="H57" s="1">
        <v>8762084</v>
      </c>
      <c r="I57" s="1">
        <v>8606961</v>
      </c>
      <c r="J57" s="1">
        <v>8410836</v>
      </c>
      <c r="K57" s="1">
        <v>8186080</v>
      </c>
      <c r="L57" s="1">
        <v>7979906</v>
      </c>
      <c r="M57" s="1">
        <v>7851739</v>
      </c>
      <c r="O57">
        <f t="shared" si="1"/>
        <v>159512</v>
      </c>
      <c r="P57">
        <f t="shared" si="2"/>
        <v>141955</v>
      </c>
      <c r="Q57">
        <f t="shared" si="3"/>
        <v>177879</v>
      </c>
      <c r="R57">
        <f t="shared" si="4"/>
        <v>156215</v>
      </c>
      <c r="S57">
        <f t="shared" si="5"/>
        <v>155123</v>
      </c>
      <c r="T57">
        <f t="shared" si="6"/>
        <v>196125</v>
      </c>
      <c r="U57">
        <f t="shared" si="7"/>
        <v>224756</v>
      </c>
      <c r="V57">
        <f t="shared" si="8"/>
        <v>206174</v>
      </c>
      <c r="W57">
        <f t="shared" si="9"/>
        <v>128167</v>
      </c>
      <c r="X57" s="5">
        <f t="shared" si="10"/>
        <v>172000</v>
      </c>
    </row>
    <row r="58" spans="2:24" x14ac:dyDescent="0.25">
      <c r="C58" t="s">
        <v>19</v>
      </c>
      <c r="D58" s="1">
        <v>10294899</v>
      </c>
      <c r="E58" s="1">
        <v>10111380</v>
      </c>
      <c r="F58" s="1">
        <v>9948468</v>
      </c>
      <c r="G58" s="1">
        <v>9744854</v>
      </c>
      <c r="H58" s="1">
        <v>9566505</v>
      </c>
      <c r="I58" s="1">
        <v>9389822</v>
      </c>
      <c r="J58" s="1">
        <v>9167014</v>
      </c>
      <c r="K58" s="1">
        <v>8912443</v>
      </c>
      <c r="L58" s="1">
        <v>8679610</v>
      </c>
      <c r="M58" s="1">
        <v>8535192</v>
      </c>
      <c r="O58">
        <f t="shared" si="1"/>
        <v>183519</v>
      </c>
      <c r="P58">
        <f t="shared" si="2"/>
        <v>162912</v>
      </c>
      <c r="Q58">
        <f t="shared" si="3"/>
        <v>203614</v>
      </c>
      <c r="R58">
        <f t="shared" si="4"/>
        <v>178349</v>
      </c>
      <c r="S58">
        <f t="shared" si="5"/>
        <v>176683</v>
      </c>
      <c r="T58">
        <f t="shared" si="6"/>
        <v>222808</v>
      </c>
      <c r="U58">
        <f t="shared" si="7"/>
        <v>254571</v>
      </c>
      <c r="V58">
        <f t="shared" si="8"/>
        <v>232833</v>
      </c>
      <c r="W58">
        <f t="shared" si="9"/>
        <v>144418</v>
      </c>
      <c r="X58" s="5">
        <f t="shared" si="10"/>
        <v>196000</v>
      </c>
    </row>
    <row r="59" spans="2:24" x14ac:dyDescent="0.25">
      <c r="C59" t="s">
        <v>17</v>
      </c>
      <c r="D59" s="1">
        <v>27127585</v>
      </c>
      <c r="E59" s="1">
        <v>26911312</v>
      </c>
      <c r="F59" s="1">
        <v>26720081</v>
      </c>
      <c r="G59" s="1">
        <v>26482033</v>
      </c>
      <c r="H59" s="1">
        <v>26274360</v>
      </c>
      <c r="I59" s="1">
        <v>26069363</v>
      </c>
      <c r="J59" s="1">
        <v>25811853</v>
      </c>
      <c r="K59" s="1">
        <v>25518934</v>
      </c>
      <c r="L59" s="1">
        <v>25252180</v>
      </c>
      <c r="M59" s="1">
        <v>25087250</v>
      </c>
      <c r="O59">
        <f t="shared" si="1"/>
        <v>216273</v>
      </c>
      <c r="P59">
        <f t="shared" si="2"/>
        <v>191231</v>
      </c>
      <c r="Q59">
        <f t="shared" si="3"/>
        <v>238048</v>
      </c>
      <c r="R59">
        <f t="shared" si="4"/>
        <v>207673</v>
      </c>
      <c r="S59">
        <f t="shared" si="5"/>
        <v>204997</v>
      </c>
      <c r="T59">
        <f t="shared" si="6"/>
        <v>257510</v>
      </c>
      <c r="U59">
        <f t="shared" si="7"/>
        <v>292919</v>
      </c>
      <c r="V59">
        <f t="shared" si="8"/>
        <v>266754</v>
      </c>
      <c r="W59">
        <f t="shared" si="9"/>
        <v>164930</v>
      </c>
      <c r="X59" s="5">
        <f t="shared" si="10"/>
        <v>227000</v>
      </c>
    </row>
    <row r="60" spans="2:24" x14ac:dyDescent="0.25">
      <c r="B60" t="s">
        <v>15</v>
      </c>
      <c r="C60" t="s">
        <v>2</v>
      </c>
      <c r="D60" s="1">
        <v>10826300</v>
      </c>
      <c r="E60" s="1">
        <v>10627027</v>
      </c>
      <c r="F60" s="1">
        <v>10450530</v>
      </c>
      <c r="G60" s="1">
        <v>10207537</v>
      </c>
      <c r="H60" s="1">
        <v>10037597</v>
      </c>
      <c r="I60" s="1">
        <v>9845694</v>
      </c>
      <c r="J60" s="1">
        <v>9607395</v>
      </c>
      <c r="K60" s="1">
        <v>9334077</v>
      </c>
      <c r="L60" s="1">
        <v>9084327</v>
      </c>
      <c r="M60" s="1">
        <v>8929425</v>
      </c>
      <c r="O60">
        <f t="shared" si="1"/>
        <v>199273</v>
      </c>
      <c r="P60">
        <f t="shared" si="2"/>
        <v>176497</v>
      </c>
      <c r="Q60">
        <f t="shared" si="3"/>
        <v>242993</v>
      </c>
      <c r="R60">
        <f t="shared" si="4"/>
        <v>169940</v>
      </c>
      <c r="S60">
        <f t="shared" si="5"/>
        <v>191903</v>
      </c>
      <c r="T60">
        <f t="shared" si="6"/>
        <v>238299</v>
      </c>
      <c r="U60">
        <f t="shared" si="7"/>
        <v>273318</v>
      </c>
      <c r="V60">
        <f t="shared" si="8"/>
        <v>249750</v>
      </c>
      <c r="W60">
        <f t="shared" si="9"/>
        <v>154902</v>
      </c>
      <c r="X60" s="5">
        <f t="shared" si="10"/>
        <v>211000</v>
      </c>
    </row>
    <row r="61" spans="2:24" x14ac:dyDescent="0.25">
      <c r="C61" t="s">
        <v>11</v>
      </c>
      <c r="D61" s="1">
        <v>19398707</v>
      </c>
      <c r="E61" s="1">
        <v>19243678</v>
      </c>
      <c r="F61" s="1">
        <v>19105653</v>
      </c>
      <c r="G61" s="1">
        <v>18932622</v>
      </c>
      <c r="H61" s="1">
        <v>18780596</v>
      </c>
      <c r="I61" s="1">
        <v>18629570</v>
      </c>
      <c r="J61" s="1">
        <v>18438537</v>
      </c>
      <c r="K61" s="1">
        <v>18219501</v>
      </c>
      <c r="L61" s="1">
        <v>18018468</v>
      </c>
      <c r="M61" s="1">
        <v>17893448</v>
      </c>
      <c r="O61">
        <f t="shared" si="1"/>
        <v>155029</v>
      </c>
      <c r="P61">
        <f t="shared" si="2"/>
        <v>138025</v>
      </c>
      <c r="Q61">
        <f t="shared" si="3"/>
        <v>173031</v>
      </c>
      <c r="R61">
        <f t="shared" si="4"/>
        <v>152026</v>
      </c>
      <c r="S61">
        <f t="shared" si="5"/>
        <v>151026</v>
      </c>
      <c r="T61">
        <f t="shared" si="6"/>
        <v>191033</v>
      </c>
      <c r="U61">
        <f t="shared" si="7"/>
        <v>219036</v>
      </c>
      <c r="V61">
        <f t="shared" si="8"/>
        <v>201033</v>
      </c>
      <c r="W61">
        <f t="shared" si="9"/>
        <v>125020</v>
      </c>
      <c r="X61" s="5">
        <f t="shared" si="10"/>
        <v>167000</v>
      </c>
    </row>
    <row r="62" spans="2:24" x14ac:dyDescent="0.25">
      <c r="C62" t="s">
        <v>12</v>
      </c>
      <c r="D62" s="1">
        <v>28088808</v>
      </c>
      <c r="E62" s="1">
        <v>27933647</v>
      </c>
      <c r="F62" s="1">
        <v>27795564</v>
      </c>
      <c r="G62" s="1">
        <v>27604297</v>
      </c>
      <c r="H62" s="1">
        <v>27470949</v>
      </c>
      <c r="I62" s="1">
        <v>27319768</v>
      </c>
      <c r="J62" s="1">
        <v>27128710</v>
      </c>
      <c r="K62" s="1">
        <v>26909713</v>
      </c>
      <c r="L62" s="1">
        <v>26707977</v>
      </c>
      <c r="M62" s="1">
        <v>26583753</v>
      </c>
      <c r="O62">
        <f t="shared" si="1"/>
        <v>155161</v>
      </c>
      <c r="P62">
        <f t="shared" si="2"/>
        <v>138083</v>
      </c>
      <c r="Q62">
        <f t="shared" si="3"/>
        <v>191267</v>
      </c>
      <c r="R62">
        <f t="shared" si="4"/>
        <v>133348</v>
      </c>
      <c r="S62">
        <f t="shared" si="5"/>
        <v>151181</v>
      </c>
      <c r="T62">
        <f t="shared" si="6"/>
        <v>191058</v>
      </c>
      <c r="U62">
        <f t="shared" si="7"/>
        <v>218997</v>
      </c>
      <c r="V62">
        <f t="shared" si="8"/>
        <v>201736</v>
      </c>
      <c r="W62">
        <f t="shared" si="9"/>
        <v>124224</v>
      </c>
      <c r="X62" s="5">
        <f t="shared" si="10"/>
        <v>167000</v>
      </c>
    </row>
    <row r="63" spans="2:24" x14ac:dyDescent="0.25">
      <c r="C63" t="s">
        <v>13</v>
      </c>
      <c r="D63" s="1">
        <v>26410984</v>
      </c>
      <c r="E63" s="1">
        <v>26210116</v>
      </c>
      <c r="F63" s="1">
        <v>26032477</v>
      </c>
      <c r="G63" s="1">
        <v>25787499</v>
      </c>
      <c r="H63" s="1">
        <v>25615458</v>
      </c>
      <c r="I63" s="1">
        <v>25424870</v>
      </c>
      <c r="J63" s="1">
        <v>25184208</v>
      </c>
      <c r="K63" s="1">
        <v>24908948</v>
      </c>
      <c r="L63" s="1">
        <v>24657152</v>
      </c>
      <c r="M63" s="1">
        <v>24502232</v>
      </c>
      <c r="O63">
        <f t="shared" si="1"/>
        <v>200868</v>
      </c>
      <c r="P63">
        <f t="shared" si="2"/>
        <v>177639</v>
      </c>
      <c r="Q63">
        <f t="shared" si="3"/>
        <v>244978</v>
      </c>
      <c r="R63">
        <f t="shared" si="4"/>
        <v>172041</v>
      </c>
      <c r="S63">
        <f t="shared" si="5"/>
        <v>190588</v>
      </c>
      <c r="T63">
        <f t="shared" si="6"/>
        <v>240662</v>
      </c>
      <c r="U63">
        <f t="shared" si="7"/>
        <v>275260</v>
      </c>
      <c r="V63">
        <f t="shared" si="8"/>
        <v>251796</v>
      </c>
      <c r="W63">
        <f t="shared" si="9"/>
        <v>154920</v>
      </c>
      <c r="X63" s="5">
        <f t="shared" si="10"/>
        <v>212000</v>
      </c>
    </row>
    <row r="64" spans="2:24" x14ac:dyDescent="0.25">
      <c r="B64" t="s">
        <v>14</v>
      </c>
      <c r="C64" t="s">
        <v>0</v>
      </c>
      <c r="D64">
        <v>12240389</v>
      </c>
      <c r="E64">
        <v>12082529</v>
      </c>
      <c r="F64">
        <v>11942560</v>
      </c>
      <c r="G64">
        <v>11747400</v>
      </c>
      <c r="H64">
        <v>11611945</v>
      </c>
      <c r="I64">
        <v>11457990</v>
      </c>
      <c r="J64">
        <v>11264279</v>
      </c>
      <c r="K64">
        <v>11041724</v>
      </c>
      <c r="L64">
        <v>10837495</v>
      </c>
      <c r="M64">
        <v>10710426</v>
      </c>
      <c r="O64">
        <f t="shared" si="1"/>
        <v>157860</v>
      </c>
      <c r="P64">
        <f t="shared" si="2"/>
        <v>139969</v>
      </c>
      <c r="Q64">
        <f t="shared" si="3"/>
        <v>195160</v>
      </c>
      <c r="R64">
        <f t="shared" si="4"/>
        <v>135455</v>
      </c>
      <c r="S64">
        <f t="shared" si="5"/>
        <v>153955</v>
      </c>
      <c r="T64">
        <f t="shared" si="6"/>
        <v>193711</v>
      </c>
      <c r="U64">
        <f t="shared" si="7"/>
        <v>222555</v>
      </c>
      <c r="V64">
        <f t="shared" si="8"/>
        <v>204229</v>
      </c>
      <c r="W64">
        <f t="shared" si="9"/>
        <v>127069</v>
      </c>
      <c r="X64" s="5">
        <f t="shared" si="10"/>
        <v>170000</v>
      </c>
    </row>
    <row r="65" spans="2:24" x14ac:dyDescent="0.25">
      <c r="C65" t="s">
        <v>2</v>
      </c>
      <c r="D65" s="1">
        <v>10943539</v>
      </c>
      <c r="E65" s="1">
        <v>10741355</v>
      </c>
      <c r="F65" s="1">
        <v>10560629</v>
      </c>
      <c r="G65" s="1">
        <v>10313566</v>
      </c>
      <c r="H65" s="1">
        <v>10140306</v>
      </c>
      <c r="I65" s="1">
        <v>9947723</v>
      </c>
      <c r="J65" s="1">
        <v>9704136</v>
      </c>
      <c r="K65" s="1">
        <v>9425011</v>
      </c>
      <c r="L65" s="1">
        <v>9171936</v>
      </c>
      <c r="M65" s="1">
        <v>9015088</v>
      </c>
      <c r="O65">
        <f t="shared" si="1"/>
        <v>202184</v>
      </c>
      <c r="P65">
        <f t="shared" si="2"/>
        <v>180726</v>
      </c>
      <c r="Q65">
        <f t="shared" si="3"/>
        <v>247063</v>
      </c>
      <c r="R65">
        <f t="shared" si="4"/>
        <v>173260</v>
      </c>
      <c r="S65">
        <f t="shared" si="5"/>
        <v>192583</v>
      </c>
      <c r="T65">
        <f t="shared" si="6"/>
        <v>243587</v>
      </c>
      <c r="U65">
        <f t="shared" si="7"/>
        <v>279125</v>
      </c>
      <c r="V65">
        <f t="shared" si="8"/>
        <v>253075</v>
      </c>
      <c r="W65">
        <f t="shared" si="9"/>
        <v>156848</v>
      </c>
      <c r="X65" s="5">
        <f t="shared" si="10"/>
        <v>214000</v>
      </c>
    </row>
    <row r="66" spans="2:24" x14ac:dyDescent="0.25">
      <c r="B66" t="s">
        <v>17</v>
      </c>
      <c r="C66" t="s">
        <v>3</v>
      </c>
      <c r="D66" s="1">
        <v>30501170</v>
      </c>
      <c r="E66" s="1">
        <v>30683267</v>
      </c>
      <c r="F66" s="1">
        <v>30844943</v>
      </c>
      <c r="G66" s="1">
        <v>31047044</v>
      </c>
      <c r="H66" s="1">
        <v>31224096</v>
      </c>
      <c r="I66" s="1">
        <v>31399522</v>
      </c>
      <c r="J66" s="1">
        <v>31620778</v>
      </c>
      <c r="K66" s="1">
        <v>31873622</v>
      </c>
      <c r="L66" s="1">
        <v>32104919</v>
      </c>
      <c r="M66" s="1">
        <v>32248403</v>
      </c>
      <c r="O66">
        <f t="shared" si="1"/>
        <v>182097</v>
      </c>
      <c r="P66">
        <f t="shared" si="2"/>
        <v>161676</v>
      </c>
      <c r="Q66">
        <f t="shared" si="3"/>
        <v>202101</v>
      </c>
      <c r="R66">
        <f t="shared" si="4"/>
        <v>177052</v>
      </c>
      <c r="S66">
        <f t="shared" si="5"/>
        <v>175426</v>
      </c>
      <c r="T66">
        <f t="shared" si="6"/>
        <v>221256</v>
      </c>
      <c r="U66">
        <f t="shared" si="7"/>
        <v>252844</v>
      </c>
      <c r="V66">
        <f t="shared" si="8"/>
        <v>231297</v>
      </c>
      <c r="W66">
        <f t="shared" si="9"/>
        <v>143484</v>
      </c>
      <c r="X66" s="5">
        <f t="shared" si="10"/>
        <v>194000</v>
      </c>
    </row>
    <row r="67" spans="2:24" x14ac:dyDescent="0.25">
      <c r="C67" t="s">
        <v>9</v>
      </c>
      <c r="D67" s="1">
        <v>13026148</v>
      </c>
      <c r="E67" s="1">
        <v>13213408</v>
      </c>
      <c r="F67" s="1">
        <v>13379570</v>
      </c>
      <c r="G67" s="1">
        <v>13587157</v>
      </c>
      <c r="H67" s="1">
        <v>13768907</v>
      </c>
      <c r="I67" s="1">
        <v>13948890</v>
      </c>
      <c r="J67" s="1">
        <v>14175762</v>
      </c>
      <c r="K67" s="1">
        <v>14434850</v>
      </c>
      <c r="L67" s="1">
        <v>14671702</v>
      </c>
      <c r="M67" s="1">
        <v>14818560</v>
      </c>
      <c r="O67">
        <f t="shared" ref="O67:O83" si="11">ABS(E67-D67)</f>
        <v>187260</v>
      </c>
      <c r="P67">
        <f t="shared" ref="P67:P83" si="12">ABS(F67-E67)</f>
        <v>166162</v>
      </c>
      <c r="Q67">
        <f t="shared" ref="Q67:Q83" si="13">ABS(G67-F67)</f>
        <v>207587</v>
      </c>
      <c r="R67">
        <f t="shared" ref="R67:R83" si="14">ABS(H67-G67)</f>
        <v>181750</v>
      </c>
      <c r="S67">
        <f t="shared" ref="S67:S83" si="15">ABS(I67-H67)</f>
        <v>179983</v>
      </c>
      <c r="T67">
        <f t="shared" ref="T67:T83" si="16">ABS(J67-I67)</f>
        <v>226872</v>
      </c>
      <c r="U67">
        <f t="shared" ref="U67:U83" si="17">ABS(K67-J67)</f>
        <v>259088</v>
      </c>
      <c r="V67">
        <f t="shared" ref="V67:V83" si="18">ABS(L67-K67)</f>
        <v>236852</v>
      </c>
      <c r="W67">
        <f t="shared" ref="W67:W83" si="19">ABS(M67-L67)</f>
        <v>146858</v>
      </c>
      <c r="X67" s="5">
        <f t="shared" ref="X67:X83" si="20">MROUND(AVERAGE(O67:W67),1000)</f>
        <v>199000</v>
      </c>
    </row>
    <row r="68" spans="2:24" x14ac:dyDescent="0.25">
      <c r="C68" t="s">
        <v>10</v>
      </c>
      <c r="D68" s="1">
        <v>10978865</v>
      </c>
      <c r="E68" s="1">
        <v>11195138</v>
      </c>
      <c r="F68" s="1">
        <v>11386368</v>
      </c>
      <c r="G68" s="1">
        <v>11624417</v>
      </c>
      <c r="H68" s="1">
        <v>11832090</v>
      </c>
      <c r="I68" s="1">
        <v>12037086</v>
      </c>
      <c r="J68" s="1">
        <v>12294597</v>
      </c>
      <c r="K68" s="1">
        <v>12587515</v>
      </c>
      <c r="L68" s="1">
        <v>12854270</v>
      </c>
      <c r="M68" s="1">
        <v>13019199</v>
      </c>
      <c r="O68">
        <f t="shared" si="11"/>
        <v>216273</v>
      </c>
      <c r="P68">
        <f t="shared" si="12"/>
        <v>191230</v>
      </c>
      <c r="Q68">
        <f t="shared" si="13"/>
        <v>238049</v>
      </c>
      <c r="R68">
        <f t="shared" si="14"/>
        <v>207673</v>
      </c>
      <c r="S68">
        <f t="shared" si="15"/>
        <v>204996</v>
      </c>
      <c r="T68">
        <f t="shared" si="16"/>
        <v>257511</v>
      </c>
      <c r="U68">
        <f t="shared" si="17"/>
        <v>292918</v>
      </c>
      <c r="V68">
        <f t="shared" si="18"/>
        <v>266755</v>
      </c>
      <c r="W68">
        <f t="shared" si="19"/>
        <v>164929</v>
      </c>
      <c r="X68" s="5">
        <f t="shared" si="20"/>
        <v>227000</v>
      </c>
    </row>
    <row r="69" spans="2:24" x14ac:dyDescent="0.25">
      <c r="B69" t="s">
        <v>11</v>
      </c>
      <c r="C69" t="s">
        <v>18</v>
      </c>
      <c r="D69" s="1">
        <v>25894701</v>
      </c>
      <c r="E69" s="1">
        <v>26557234</v>
      </c>
      <c r="F69" s="1">
        <v>27083813</v>
      </c>
      <c r="G69" s="1">
        <v>27684295</v>
      </c>
      <c r="H69" s="1">
        <v>28170495</v>
      </c>
      <c r="I69" s="1">
        <v>28623498</v>
      </c>
      <c r="J69" s="1">
        <v>29162034</v>
      </c>
      <c r="K69" s="1">
        <v>29741288</v>
      </c>
      <c r="L69" s="1">
        <v>30243707</v>
      </c>
      <c r="M69" s="1">
        <v>30544212</v>
      </c>
      <c r="O69">
        <f t="shared" si="11"/>
        <v>662533</v>
      </c>
      <c r="P69">
        <f t="shared" si="12"/>
        <v>526579</v>
      </c>
      <c r="Q69">
        <f t="shared" si="13"/>
        <v>600482</v>
      </c>
      <c r="R69">
        <f t="shared" si="14"/>
        <v>486200</v>
      </c>
      <c r="S69">
        <f t="shared" si="15"/>
        <v>453003</v>
      </c>
      <c r="T69">
        <f t="shared" si="16"/>
        <v>538536</v>
      </c>
      <c r="U69">
        <f t="shared" si="17"/>
        <v>579254</v>
      </c>
      <c r="V69">
        <f t="shared" si="18"/>
        <v>502419</v>
      </c>
      <c r="W69">
        <f t="shared" si="19"/>
        <v>300505</v>
      </c>
      <c r="X69" s="5">
        <f t="shared" si="20"/>
        <v>517000</v>
      </c>
    </row>
    <row r="70" spans="2:24" x14ac:dyDescent="0.25">
      <c r="C70" t="s">
        <v>7</v>
      </c>
      <c r="D70" s="1">
        <v>32160432</v>
      </c>
      <c r="E70" s="1">
        <v>32346156</v>
      </c>
      <c r="F70" s="1">
        <v>32510986</v>
      </c>
      <c r="G70" s="1">
        <v>32716943</v>
      </c>
      <c r="H70" s="1">
        <v>32897299</v>
      </c>
      <c r="I70" s="1">
        <v>33075930</v>
      </c>
      <c r="J70" s="1">
        <v>33301137</v>
      </c>
      <c r="K70" s="1">
        <v>33558375</v>
      </c>
      <c r="L70" s="1">
        <v>33793582</v>
      </c>
      <c r="M70" s="1">
        <v>33939442</v>
      </c>
      <c r="O70">
        <f t="shared" si="11"/>
        <v>185724</v>
      </c>
      <c r="P70">
        <f t="shared" si="12"/>
        <v>164830</v>
      </c>
      <c r="Q70">
        <f t="shared" si="13"/>
        <v>205957</v>
      </c>
      <c r="R70">
        <f t="shared" si="14"/>
        <v>180356</v>
      </c>
      <c r="S70">
        <f t="shared" si="15"/>
        <v>178631</v>
      </c>
      <c r="T70">
        <f t="shared" si="16"/>
        <v>225207</v>
      </c>
      <c r="U70">
        <f t="shared" si="17"/>
        <v>257238</v>
      </c>
      <c r="V70">
        <f t="shared" si="18"/>
        <v>235207</v>
      </c>
      <c r="W70">
        <f t="shared" si="19"/>
        <v>145860</v>
      </c>
      <c r="X70" s="5">
        <f t="shared" si="20"/>
        <v>198000</v>
      </c>
    </row>
    <row r="71" spans="2:24" x14ac:dyDescent="0.25">
      <c r="C71" t="s">
        <v>6</v>
      </c>
      <c r="D71" s="1">
        <v>8080212</v>
      </c>
      <c r="E71" s="1">
        <v>8623570</v>
      </c>
      <c r="F71" s="1">
        <v>9071561</v>
      </c>
      <c r="G71" s="1">
        <v>9596012</v>
      </c>
      <c r="H71" s="1">
        <v>10029216</v>
      </c>
      <c r="I71" s="1">
        <v>10438517</v>
      </c>
      <c r="J71" s="1">
        <v>10931065</v>
      </c>
      <c r="K71" s="1">
        <v>11466902</v>
      </c>
      <c r="L71" s="1">
        <v>11935912</v>
      </c>
      <c r="M71" s="1">
        <v>12218065</v>
      </c>
      <c r="O71">
        <f t="shared" si="11"/>
        <v>543358</v>
      </c>
      <c r="P71">
        <f t="shared" si="12"/>
        <v>447991</v>
      </c>
      <c r="Q71">
        <f t="shared" si="13"/>
        <v>524451</v>
      </c>
      <c r="R71">
        <f t="shared" si="14"/>
        <v>433204</v>
      </c>
      <c r="S71">
        <f t="shared" si="15"/>
        <v>409301</v>
      </c>
      <c r="T71">
        <f t="shared" si="16"/>
        <v>492548</v>
      </c>
      <c r="U71">
        <f t="shared" si="17"/>
        <v>535837</v>
      </c>
      <c r="V71">
        <f t="shared" si="18"/>
        <v>469010</v>
      </c>
      <c r="W71">
        <f t="shared" si="19"/>
        <v>282153</v>
      </c>
      <c r="X71" s="5">
        <f t="shared" si="20"/>
        <v>460000</v>
      </c>
    </row>
    <row r="72" spans="2:24" x14ac:dyDescent="0.25">
      <c r="C72" t="s">
        <v>8</v>
      </c>
      <c r="D72" s="1">
        <v>12425594</v>
      </c>
      <c r="E72" s="1">
        <v>12626134</v>
      </c>
      <c r="F72" s="1">
        <v>12803803</v>
      </c>
      <c r="G72" s="1">
        <v>13025414</v>
      </c>
      <c r="H72" s="1">
        <v>13219133</v>
      </c>
      <c r="I72" s="1">
        <v>13410694</v>
      </c>
      <c r="J72" s="1">
        <v>13651788</v>
      </c>
      <c r="K72" s="1">
        <v>13926629</v>
      </c>
      <c r="L72" s="1">
        <v>14177448</v>
      </c>
      <c r="M72" s="1">
        <v>14332766</v>
      </c>
      <c r="O72">
        <f t="shared" si="11"/>
        <v>200540</v>
      </c>
      <c r="P72">
        <f t="shared" si="12"/>
        <v>177669</v>
      </c>
      <c r="Q72">
        <f t="shared" si="13"/>
        <v>221611</v>
      </c>
      <c r="R72">
        <f t="shared" si="14"/>
        <v>193719</v>
      </c>
      <c r="S72">
        <f t="shared" si="15"/>
        <v>191561</v>
      </c>
      <c r="T72">
        <f t="shared" si="16"/>
        <v>241094</v>
      </c>
      <c r="U72">
        <f t="shared" si="17"/>
        <v>274841</v>
      </c>
      <c r="V72">
        <f t="shared" si="18"/>
        <v>250819</v>
      </c>
      <c r="W72">
        <f t="shared" si="19"/>
        <v>155318</v>
      </c>
      <c r="X72" s="5">
        <f t="shared" si="20"/>
        <v>212000</v>
      </c>
    </row>
    <row r="73" spans="2:24" x14ac:dyDescent="0.25">
      <c r="C73" t="s">
        <v>15</v>
      </c>
      <c r="D73" s="1">
        <v>6853484</v>
      </c>
      <c r="E73" s="1">
        <v>7008512</v>
      </c>
      <c r="F73" s="1">
        <v>7146537</v>
      </c>
      <c r="G73" s="1">
        <v>7319568</v>
      </c>
      <c r="H73" s="1">
        <v>7471595</v>
      </c>
      <c r="I73" s="1">
        <v>7622621</v>
      </c>
      <c r="J73" s="1">
        <v>7813653</v>
      </c>
      <c r="K73" s="1">
        <v>8032690</v>
      </c>
      <c r="L73" s="1">
        <v>8233722</v>
      </c>
      <c r="M73" s="1">
        <v>8358742</v>
      </c>
      <c r="O73">
        <f t="shared" si="11"/>
        <v>155028</v>
      </c>
      <c r="P73">
        <f t="shared" si="12"/>
        <v>138025</v>
      </c>
      <c r="Q73">
        <f t="shared" si="13"/>
        <v>173031</v>
      </c>
      <c r="R73">
        <f t="shared" si="14"/>
        <v>152027</v>
      </c>
      <c r="S73">
        <f t="shared" si="15"/>
        <v>151026</v>
      </c>
      <c r="T73">
        <f t="shared" si="16"/>
        <v>191032</v>
      </c>
      <c r="U73">
        <f t="shared" si="17"/>
        <v>219037</v>
      </c>
      <c r="V73">
        <f t="shared" si="18"/>
        <v>201032</v>
      </c>
      <c r="W73">
        <f t="shared" si="19"/>
        <v>125020</v>
      </c>
      <c r="X73" s="5">
        <f t="shared" si="20"/>
        <v>167000</v>
      </c>
    </row>
    <row r="74" spans="2:24" x14ac:dyDescent="0.25">
      <c r="B74" t="s">
        <v>12</v>
      </c>
      <c r="C74" t="s">
        <v>7</v>
      </c>
      <c r="D74" s="1">
        <v>31298581</v>
      </c>
      <c r="E74" s="1">
        <v>31489565</v>
      </c>
      <c r="F74" s="1">
        <v>31658332</v>
      </c>
      <c r="G74" s="1">
        <v>31891224</v>
      </c>
      <c r="H74" s="1">
        <v>32054865</v>
      </c>
      <c r="I74" s="1">
        <v>32237666</v>
      </c>
      <c r="J74" s="1">
        <v>32467554</v>
      </c>
      <c r="K74" s="1">
        <v>32730244</v>
      </c>
      <c r="L74" s="1">
        <v>32970685</v>
      </c>
      <c r="M74" s="1">
        <v>33119838</v>
      </c>
      <c r="O74">
        <f t="shared" si="11"/>
        <v>190984</v>
      </c>
      <c r="P74">
        <f t="shared" si="12"/>
        <v>168767</v>
      </c>
      <c r="Q74">
        <f t="shared" si="13"/>
        <v>232892</v>
      </c>
      <c r="R74">
        <f t="shared" si="14"/>
        <v>163641</v>
      </c>
      <c r="S74">
        <f t="shared" si="15"/>
        <v>182801</v>
      </c>
      <c r="T74">
        <f t="shared" si="16"/>
        <v>229888</v>
      </c>
      <c r="U74">
        <f t="shared" si="17"/>
        <v>262690</v>
      </c>
      <c r="V74">
        <f t="shared" si="18"/>
        <v>240441</v>
      </c>
      <c r="W74">
        <f t="shared" si="19"/>
        <v>149153</v>
      </c>
      <c r="X74" s="5">
        <f t="shared" si="20"/>
        <v>202000</v>
      </c>
    </row>
    <row r="75" spans="2:24" x14ac:dyDescent="0.25">
      <c r="C75" t="s">
        <v>4</v>
      </c>
      <c r="D75" s="1">
        <v>1707251</v>
      </c>
      <c r="E75" s="1">
        <v>2126960</v>
      </c>
      <c r="F75" s="1">
        <v>2478638</v>
      </c>
      <c r="G75" s="1">
        <v>2950916</v>
      </c>
      <c r="H75" s="1">
        <v>3266924</v>
      </c>
      <c r="I75" s="1">
        <v>3611503</v>
      </c>
      <c r="J75" s="1">
        <v>4035427</v>
      </c>
      <c r="K75" s="1">
        <v>4503506</v>
      </c>
      <c r="L75" s="1">
        <v>4918324</v>
      </c>
      <c r="M75" s="1">
        <v>5169446</v>
      </c>
      <c r="O75">
        <f t="shared" si="11"/>
        <v>419709</v>
      </c>
      <c r="P75">
        <f t="shared" si="12"/>
        <v>351678</v>
      </c>
      <c r="Q75">
        <f t="shared" si="13"/>
        <v>472278</v>
      </c>
      <c r="R75">
        <f t="shared" si="14"/>
        <v>316008</v>
      </c>
      <c r="S75">
        <f t="shared" si="15"/>
        <v>344579</v>
      </c>
      <c r="T75">
        <f t="shared" si="16"/>
        <v>423924</v>
      </c>
      <c r="U75">
        <f t="shared" si="17"/>
        <v>468079</v>
      </c>
      <c r="V75">
        <f t="shared" si="18"/>
        <v>414818</v>
      </c>
      <c r="W75">
        <f t="shared" si="19"/>
        <v>251122</v>
      </c>
      <c r="X75" s="5">
        <f t="shared" si="20"/>
        <v>385000</v>
      </c>
    </row>
    <row r="76" spans="2:24" x14ac:dyDescent="0.25">
      <c r="C76" t="s">
        <v>6</v>
      </c>
      <c r="D76" s="1">
        <v>5641278</v>
      </c>
      <c r="E76" s="1">
        <v>6248919</v>
      </c>
      <c r="F76" s="1">
        <v>6739719</v>
      </c>
      <c r="G76" s="1">
        <v>7366024</v>
      </c>
      <c r="H76" s="1">
        <v>7773605</v>
      </c>
      <c r="I76" s="1">
        <v>8207679</v>
      </c>
      <c r="J76" s="1">
        <v>8727035</v>
      </c>
      <c r="K76" s="1">
        <v>9289996</v>
      </c>
      <c r="L76" s="1">
        <v>9778396</v>
      </c>
      <c r="M76" s="1">
        <v>10071886</v>
      </c>
      <c r="O76">
        <f t="shared" si="11"/>
        <v>607641</v>
      </c>
      <c r="P76">
        <f t="shared" si="12"/>
        <v>490800</v>
      </c>
      <c r="Q76">
        <f t="shared" si="13"/>
        <v>626305</v>
      </c>
      <c r="R76">
        <f t="shared" si="14"/>
        <v>407581</v>
      </c>
      <c r="S76">
        <f t="shared" si="15"/>
        <v>434074</v>
      </c>
      <c r="T76">
        <f t="shared" si="16"/>
        <v>519356</v>
      </c>
      <c r="U76">
        <f t="shared" si="17"/>
        <v>562961</v>
      </c>
      <c r="V76">
        <f t="shared" si="18"/>
        <v>488400</v>
      </c>
      <c r="W76">
        <f t="shared" si="19"/>
        <v>293490</v>
      </c>
      <c r="X76" s="5">
        <f t="shared" si="20"/>
        <v>492000</v>
      </c>
    </row>
    <row r="77" spans="2:24" x14ac:dyDescent="0.25">
      <c r="C77" t="s">
        <v>8</v>
      </c>
      <c r="D77" s="1">
        <v>11778068</v>
      </c>
      <c r="E77" s="1">
        <v>11977938</v>
      </c>
      <c r="F77" s="1">
        <v>12152426</v>
      </c>
      <c r="G77" s="1">
        <v>12393952</v>
      </c>
      <c r="H77" s="1">
        <v>12563803</v>
      </c>
      <c r="I77" s="1">
        <v>12752999</v>
      </c>
      <c r="J77" s="1">
        <v>12991742</v>
      </c>
      <c r="K77" s="1">
        <v>13264136</v>
      </c>
      <c r="L77" s="1">
        <v>13512961</v>
      </c>
      <c r="M77" s="1">
        <v>13666730</v>
      </c>
      <c r="O77">
        <f t="shared" si="11"/>
        <v>199870</v>
      </c>
      <c r="P77">
        <f t="shared" si="12"/>
        <v>174488</v>
      </c>
      <c r="Q77">
        <f t="shared" si="13"/>
        <v>241526</v>
      </c>
      <c r="R77">
        <f t="shared" si="14"/>
        <v>169851</v>
      </c>
      <c r="S77">
        <f t="shared" si="15"/>
        <v>189196</v>
      </c>
      <c r="T77">
        <f t="shared" si="16"/>
        <v>238743</v>
      </c>
      <c r="U77">
        <f t="shared" si="17"/>
        <v>272394</v>
      </c>
      <c r="V77">
        <f t="shared" si="18"/>
        <v>248825</v>
      </c>
      <c r="W77">
        <f t="shared" si="19"/>
        <v>153769</v>
      </c>
      <c r="X77" s="5">
        <f t="shared" si="20"/>
        <v>210000</v>
      </c>
    </row>
    <row r="78" spans="2:24" x14ac:dyDescent="0.25">
      <c r="C78" t="s">
        <v>15</v>
      </c>
      <c r="D78" s="1">
        <v>6852896</v>
      </c>
      <c r="E78" s="1">
        <v>7008058</v>
      </c>
      <c r="F78" s="1">
        <v>7146140</v>
      </c>
      <c r="G78" s="1">
        <v>7337408</v>
      </c>
      <c r="H78" s="1">
        <v>7470755</v>
      </c>
      <c r="I78" s="1">
        <v>7621937</v>
      </c>
      <c r="J78" s="1">
        <v>7812994</v>
      </c>
      <c r="K78" s="1">
        <v>8031991</v>
      </c>
      <c r="L78" s="1">
        <v>8233727</v>
      </c>
      <c r="M78" s="1">
        <v>8357951</v>
      </c>
      <c r="O78">
        <f t="shared" si="11"/>
        <v>155162</v>
      </c>
      <c r="P78">
        <f t="shared" si="12"/>
        <v>138082</v>
      </c>
      <c r="Q78">
        <f t="shared" si="13"/>
        <v>191268</v>
      </c>
      <c r="R78">
        <f t="shared" si="14"/>
        <v>133347</v>
      </c>
      <c r="S78">
        <f t="shared" si="15"/>
        <v>151182</v>
      </c>
      <c r="T78">
        <f t="shared" si="16"/>
        <v>191057</v>
      </c>
      <c r="U78">
        <f t="shared" si="17"/>
        <v>218997</v>
      </c>
      <c r="V78">
        <f t="shared" si="18"/>
        <v>201736</v>
      </c>
      <c r="W78">
        <f t="shared" si="19"/>
        <v>124224</v>
      </c>
      <c r="X78" s="5">
        <f t="shared" si="20"/>
        <v>167000</v>
      </c>
    </row>
    <row r="79" spans="2:24" x14ac:dyDescent="0.25">
      <c r="B79" t="s">
        <v>13</v>
      </c>
      <c r="C79" t="s">
        <v>7</v>
      </c>
      <c r="D79" s="1">
        <v>38619004</v>
      </c>
      <c r="E79" s="1">
        <v>38774978</v>
      </c>
      <c r="F79" s="1">
        <v>38913779</v>
      </c>
      <c r="G79" s="1">
        <v>39106082</v>
      </c>
      <c r="H79" s="1">
        <v>39241166</v>
      </c>
      <c r="I79" s="1">
        <v>39393135</v>
      </c>
      <c r="J79" s="1">
        <v>39585471</v>
      </c>
      <c r="K79" s="1">
        <v>39805928</v>
      </c>
      <c r="L79" s="1">
        <v>40008024</v>
      </c>
      <c r="M79" s="1">
        <v>40133398</v>
      </c>
      <c r="O79">
        <f t="shared" si="11"/>
        <v>155974</v>
      </c>
      <c r="P79">
        <f t="shared" si="12"/>
        <v>138801</v>
      </c>
      <c r="Q79">
        <f t="shared" si="13"/>
        <v>192303</v>
      </c>
      <c r="R79">
        <f t="shared" si="14"/>
        <v>135084</v>
      </c>
      <c r="S79">
        <f t="shared" si="15"/>
        <v>151969</v>
      </c>
      <c r="T79">
        <f t="shared" si="16"/>
        <v>192336</v>
      </c>
      <c r="U79">
        <f t="shared" si="17"/>
        <v>220457</v>
      </c>
      <c r="V79">
        <f t="shared" si="18"/>
        <v>202096</v>
      </c>
      <c r="W79">
        <f t="shared" si="19"/>
        <v>125374</v>
      </c>
      <c r="X79" s="5">
        <f t="shared" si="20"/>
        <v>168000</v>
      </c>
    </row>
    <row r="80" spans="2:24" x14ac:dyDescent="0.25">
      <c r="C80" t="s">
        <v>4</v>
      </c>
      <c r="D80" s="1">
        <v>575826</v>
      </c>
      <c r="E80" s="1">
        <v>736947</v>
      </c>
      <c r="F80" s="1">
        <v>880040</v>
      </c>
      <c r="G80" s="1">
        <v>1078256</v>
      </c>
      <c r="H80" s="1">
        <v>1217595</v>
      </c>
      <c r="I80" s="1">
        <v>1374096</v>
      </c>
      <c r="J80" s="1">
        <v>1571552</v>
      </c>
      <c r="K80" s="1">
        <v>1798449</v>
      </c>
      <c r="L80" s="1">
        <v>2006372</v>
      </c>
      <c r="M80" s="1">
        <v>2134689</v>
      </c>
      <c r="O80">
        <f t="shared" si="11"/>
        <v>161121</v>
      </c>
      <c r="P80">
        <f t="shared" si="12"/>
        <v>143093</v>
      </c>
      <c r="Q80">
        <f t="shared" si="13"/>
        <v>198216</v>
      </c>
      <c r="R80">
        <f t="shared" si="14"/>
        <v>139339</v>
      </c>
      <c r="S80">
        <f t="shared" si="15"/>
        <v>156501</v>
      </c>
      <c r="T80">
        <f t="shared" si="16"/>
        <v>197456</v>
      </c>
      <c r="U80">
        <f t="shared" si="17"/>
        <v>226897</v>
      </c>
      <c r="V80">
        <f t="shared" si="18"/>
        <v>207923</v>
      </c>
      <c r="W80">
        <f t="shared" si="19"/>
        <v>128317</v>
      </c>
      <c r="X80" s="5">
        <f t="shared" si="20"/>
        <v>173000</v>
      </c>
    </row>
    <row r="81" spans="3:24" x14ac:dyDescent="0.25">
      <c r="C81" t="s">
        <v>5</v>
      </c>
      <c r="D81" s="1">
        <v>25688478</v>
      </c>
      <c r="E81" s="1">
        <v>25917214</v>
      </c>
      <c r="F81" s="1">
        <v>26120249</v>
      </c>
      <c r="G81" s="1">
        <v>26397447</v>
      </c>
      <c r="H81" s="1">
        <v>26589888</v>
      </c>
      <c r="I81" s="1">
        <v>26805213</v>
      </c>
      <c r="J81" s="1">
        <v>27076738</v>
      </c>
      <c r="K81" s="1">
        <v>27384314</v>
      </c>
      <c r="L81" s="1">
        <v>27662684</v>
      </c>
      <c r="M81" s="1">
        <v>27835342</v>
      </c>
      <c r="O81">
        <f t="shared" si="11"/>
        <v>228736</v>
      </c>
      <c r="P81">
        <f t="shared" si="12"/>
        <v>203035</v>
      </c>
      <c r="Q81">
        <f t="shared" si="13"/>
        <v>277198</v>
      </c>
      <c r="R81">
        <f t="shared" si="14"/>
        <v>192441</v>
      </c>
      <c r="S81">
        <f t="shared" si="15"/>
        <v>215325</v>
      </c>
      <c r="T81">
        <f t="shared" si="16"/>
        <v>271525</v>
      </c>
      <c r="U81">
        <f t="shared" si="17"/>
        <v>307576</v>
      </c>
      <c r="V81">
        <f t="shared" si="18"/>
        <v>278370</v>
      </c>
      <c r="W81">
        <f t="shared" si="19"/>
        <v>172658</v>
      </c>
      <c r="X81" s="5">
        <f t="shared" si="20"/>
        <v>239000</v>
      </c>
    </row>
    <row r="82" spans="3:24" x14ac:dyDescent="0.25">
      <c r="C82" t="s">
        <v>8</v>
      </c>
      <c r="D82" s="1">
        <v>6853004</v>
      </c>
      <c r="E82" s="1">
        <v>7008192</v>
      </c>
      <c r="F82" s="1">
        <v>7146538</v>
      </c>
      <c r="G82" s="1">
        <v>7336968</v>
      </c>
      <c r="H82" s="1">
        <v>7472053</v>
      </c>
      <c r="I82" s="1">
        <v>7622327</v>
      </c>
      <c r="J82" s="1">
        <v>7813649</v>
      </c>
      <c r="K82" s="1">
        <v>8031940</v>
      </c>
      <c r="L82" s="1">
        <v>8233570</v>
      </c>
      <c r="M82" s="1">
        <v>8358265</v>
      </c>
      <c r="O82">
        <f t="shared" si="11"/>
        <v>155188</v>
      </c>
      <c r="P82">
        <f t="shared" si="12"/>
        <v>138346</v>
      </c>
      <c r="Q82">
        <f t="shared" si="13"/>
        <v>190430</v>
      </c>
      <c r="R82">
        <f t="shared" si="14"/>
        <v>135085</v>
      </c>
      <c r="S82">
        <f t="shared" si="15"/>
        <v>150274</v>
      </c>
      <c r="T82">
        <f t="shared" si="16"/>
        <v>191322</v>
      </c>
      <c r="U82">
        <f t="shared" si="17"/>
        <v>218291</v>
      </c>
      <c r="V82">
        <f t="shared" si="18"/>
        <v>201630</v>
      </c>
      <c r="W82">
        <f t="shared" si="19"/>
        <v>124695</v>
      </c>
      <c r="X82" s="5">
        <f t="shared" si="20"/>
        <v>167000</v>
      </c>
    </row>
    <row r="83" spans="3:24" x14ac:dyDescent="0.25">
      <c r="C83" t="s">
        <v>15</v>
      </c>
      <c r="D83" s="1">
        <v>12489712</v>
      </c>
      <c r="E83" s="1">
        <v>12690581</v>
      </c>
      <c r="F83" s="1">
        <v>12868220</v>
      </c>
      <c r="G83" s="1">
        <v>13113197</v>
      </c>
      <c r="H83" s="1">
        <v>13285238</v>
      </c>
      <c r="I83" s="1">
        <v>13745827</v>
      </c>
      <c r="J83" s="1">
        <v>13816489</v>
      </c>
      <c r="K83" s="1">
        <v>13991749</v>
      </c>
      <c r="L83" s="1">
        <v>14243544</v>
      </c>
      <c r="M83" s="1">
        <v>14398465</v>
      </c>
      <c r="O83">
        <f t="shared" si="11"/>
        <v>200869</v>
      </c>
      <c r="P83">
        <f t="shared" si="12"/>
        <v>177639</v>
      </c>
      <c r="Q83">
        <f t="shared" si="13"/>
        <v>244977</v>
      </c>
      <c r="R83">
        <f t="shared" si="14"/>
        <v>172041</v>
      </c>
      <c r="S83">
        <f t="shared" si="15"/>
        <v>460589</v>
      </c>
      <c r="T83">
        <f t="shared" si="16"/>
        <v>70662</v>
      </c>
      <c r="U83">
        <f t="shared" si="17"/>
        <v>175260</v>
      </c>
      <c r="V83">
        <f t="shared" si="18"/>
        <v>251795</v>
      </c>
      <c r="W83">
        <f t="shared" si="19"/>
        <v>154921</v>
      </c>
      <c r="X83" s="5">
        <f t="shared" si="20"/>
        <v>212000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D8DCE-DDB5-4329-AA0D-C63728605FFD}">
  <dimension ref="A1:D83"/>
  <sheetViews>
    <sheetView workbookViewId="0">
      <selection activeCell="E15" sqref="E15"/>
    </sheetView>
  </sheetViews>
  <sheetFormatPr defaultRowHeight="15" x14ac:dyDescent="0.25"/>
  <cols>
    <col min="2" max="2" width="11.28515625" bestFit="1" customWidth="1"/>
    <col min="3" max="3" width="11.140625" bestFit="1" customWidth="1"/>
    <col min="4" max="4" width="15.140625" style="5" customWidth="1"/>
  </cols>
  <sheetData>
    <row r="1" spans="1:4" ht="60" x14ac:dyDescent="0.25">
      <c r="A1" s="6" t="s">
        <v>37</v>
      </c>
      <c r="B1" t="s">
        <v>33</v>
      </c>
      <c r="C1" t="s">
        <v>34</v>
      </c>
      <c r="D1" s="4" t="s">
        <v>36</v>
      </c>
    </row>
    <row r="2" spans="1:4" x14ac:dyDescent="0.25">
      <c r="A2">
        <v>1</v>
      </c>
      <c r="B2" t="s">
        <v>18</v>
      </c>
      <c r="C2" t="s">
        <v>11</v>
      </c>
      <c r="D2" s="5">
        <v>517000</v>
      </c>
    </row>
    <row r="3" spans="1:4" x14ac:dyDescent="0.25">
      <c r="A3">
        <v>2</v>
      </c>
      <c r="B3" t="s">
        <v>11</v>
      </c>
      <c r="C3" t="s">
        <v>18</v>
      </c>
      <c r="D3" s="5">
        <v>517000</v>
      </c>
    </row>
    <row r="4" spans="1:4" x14ac:dyDescent="0.25">
      <c r="A4">
        <v>3</v>
      </c>
      <c r="B4" t="s">
        <v>6</v>
      </c>
      <c r="C4" t="s">
        <v>12</v>
      </c>
      <c r="D4" s="5">
        <v>492000</v>
      </c>
    </row>
    <row r="5" spans="1:4" x14ac:dyDescent="0.25">
      <c r="A5">
        <v>4</v>
      </c>
      <c r="B5" t="s">
        <v>12</v>
      </c>
      <c r="C5" t="s">
        <v>6</v>
      </c>
      <c r="D5" s="5">
        <v>492000</v>
      </c>
    </row>
    <row r="6" spans="1:4" x14ac:dyDescent="0.25">
      <c r="A6">
        <v>5</v>
      </c>
      <c r="B6" t="s">
        <v>6</v>
      </c>
      <c r="C6" t="s">
        <v>11</v>
      </c>
      <c r="D6" s="5">
        <v>460000</v>
      </c>
    </row>
    <row r="7" spans="1:4" x14ac:dyDescent="0.25">
      <c r="A7">
        <v>6</v>
      </c>
      <c r="B7" t="s">
        <v>11</v>
      </c>
      <c r="C7" t="s">
        <v>6</v>
      </c>
      <c r="D7" s="5">
        <v>460000</v>
      </c>
    </row>
    <row r="8" spans="1:4" x14ac:dyDescent="0.25">
      <c r="A8">
        <v>7</v>
      </c>
      <c r="B8" t="s">
        <v>0</v>
      </c>
      <c r="C8" t="s">
        <v>5</v>
      </c>
      <c r="D8" s="5">
        <v>456000</v>
      </c>
    </row>
    <row r="9" spans="1:4" x14ac:dyDescent="0.25">
      <c r="A9">
        <v>8</v>
      </c>
      <c r="B9" t="s">
        <v>5</v>
      </c>
      <c r="C9" t="s">
        <v>0</v>
      </c>
      <c r="D9" s="5">
        <v>456000</v>
      </c>
    </row>
    <row r="10" spans="1:4" x14ac:dyDescent="0.25">
      <c r="A10">
        <v>9</v>
      </c>
      <c r="B10" t="s">
        <v>1</v>
      </c>
      <c r="C10" t="s">
        <v>4</v>
      </c>
      <c r="D10" s="5">
        <v>411000</v>
      </c>
    </row>
    <row r="11" spans="1:4" x14ac:dyDescent="0.25">
      <c r="A11">
        <v>10</v>
      </c>
      <c r="B11" t="s">
        <v>4</v>
      </c>
      <c r="C11" t="s">
        <v>1</v>
      </c>
      <c r="D11" s="5">
        <v>411000</v>
      </c>
    </row>
    <row r="12" spans="1:4" x14ac:dyDescent="0.25">
      <c r="A12">
        <v>11</v>
      </c>
      <c r="B12" t="s">
        <v>4</v>
      </c>
      <c r="C12" t="s">
        <v>12</v>
      </c>
      <c r="D12" s="5">
        <v>385000</v>
      </c>
    </row>
    <row r="13" spans="1:4" x14ac:dyDescent="0.25">
      <c r="A13">
        <v>12</v>
      </c>
      <c r="B13" t="s">
        <v>12</v>
      </c>
      <c r="C13" t="s">
        <v>4</v>
      </c>
      <c r="D13" s="5">
        <v>385000</v>
      </c>
    </row>
    <row r="14" spans="1:4" x14ac:dyDescent="0.25">
      <c r="A14">
        <v>13</v>
      </c>
      <c r="B14" t="s">
        <v>1</v>
      </c>
      <c r="C14" t="s">
        <v>5</v>
      </c>
      <c r="D14" s="5">
        <v>383000</v>
      </c>
    </row>
    <row r="15" spans="1:4" x14ac:dyDescent="0.25">
      <c r="A15">
        <v>14</v>
      </c>
      <c r="B15" t="s">
        <v>5</v>
      </c>
      <c r="C15" t="s">
        <v>1</v>
      </c>
      <c r="D15" s="5">
        <v>383000</v>
      </c>
    </row>
    <row r="16" spans="1:4" x14ac:dyDescent="0.25">
      <c r="A16">
        <v>15</v>
      </c>
      <c r="B16" t="s">
        <v>0</v>
      </c>
      <c r="C16" t="s">
        <v>7</v>
      </c>
      <c r="D16" s="5">
        <v>369000</v>
      </c>
    </row>
    <row r="17" spans="1:4" x14ac:dyDescent="0.25">
      <c r="A17">
        <v>16</v>
      </c>
      <c r="B17" t="s">
        <v>19</v>
      </c>
      <c r="C17" t="s">
        <v>3</v>
      </c>
      <c r="D17" s="5">
        <v>305000</v>
      </c>
    </row>
    <row r="18" spans="1:4" x14ac:dyDescent="0.25">
      <c r="A18">
        <v>17</v>
      </c>
      <c r="B18" t="s">
        <v>3</v>
      </c>
      <c r="C18" t="s">
        <v>19</v>
      </c>
      <c r="D18" s="5">
        <v>305000</v>
      </c>
    </row>
    <row r="19" spans="1:4" x14ac:dyDescent="0.25">
      <c r="A19">
        <v>18</v>
      </c>
      <c r="B19" t="s">
        <v>16</v>
      </c>
      <c r="C19" t="s">
        <v>3</v>
      </c>
      <c r="D19" s="5">
        <v>282000</v>
      </c>
    </row>
    <row r="20" spans="1:4" x14ac:dyDescent="0.25">
      <c r="A20">
        <v>19</v>
      </c>
      <c r="B20" t="s">
        <v>3</v>
      </c>
      <c r="C20" t="s">
        <v>16</v>
      </c>
      <c r="D20" s="5">
        <v>282000</v>
      </c>
    </row>
    <row r="21" spans="1:4" x14ac:dyDescent="0.25">
      <c r="A21">
        <v>20</v>
      </c>
      <c r="B21" t="s">
        <v>5</v>
      </c>
      <c r="C21" t="s">
        <v>13</v>
      </c>
      <c r="D21" s="5">
        <v>239000</v>
      </c>
    </row>
    <row r="22" spans="1:4" x14ac:dyDescent="0.25">
      <c r="A22">
        <v>21</v>
      </c>
      <c r="B22" t="s">
        <v>13</v>
      </c>
      <c r="C22" t="s">
        <v>5</v>
      </c>
      <c r="D22" s="5">
        <v>239000</v>
      </c>
    </row>
    <row r="23" spans="1:4" x14ac:dyDescent="0.25">
      <c r="A23">
        <v>22</v>
      </c>
      <c r="B23" t="s">
        <v>18</v>
      </c>
      <c r="C23" t="s">
        <v>10</v>
      </c>
      <c r="D23" s="5">
        <v>228000</v>
      </c>
    </row>
    <row r="24" spans="1:4" x14ac:dyDescent="0.25">
      <c r="A24">
        <v>23</v>
      </c>
      <c r="B24" t="s">
        <v>10</v>
      </c>
      <c r="C24" t="s">
        <v>18</v>
      </c>
      <c r="D24" s="5">
        <v>228000</v>
      </c>
    </row>
    <row r="25" spans="1:4" x14ac:dyDescent="0.25">
      <c r="A25">
        <v>24</v>
      </c>
      <c r="B25" t="s">
        <v>10</v>
      </c>
      <c r="C25" t="s">
        <v>17</v>
      </c>
      <c r="D25" s="5">
        <v>227000</v>
      </c>
    </row>
    <row r="26" spans="1:4" x14ac:dyDescent="0.25">
      <c r="A26">
        <v>25</v>
      </c>
      <c r="B26" t="s">
        <v>17</v>
      </c>
      <c r="C26" t="s">
        <v>10</v>
      </c>
      <c r="D26" s="5">
        <v>227000</v>
      </c>
    </row>
    <row r="27" spans="1:4" x14ac:dyDescent="0.25">
      <c r="A27">
        <v>26</v>
      </c>
      <c r="B27" t="s">
        <v>2</v>
      </c>
      <c r="C27" t="s">
        <v>14</v>
      </c>
      <c r="D27" s="5">
        <v>214000</v>
      </c>
    </row>
    <row r="28" spans="1:4" x14ac:dyDescent="0.25">
      <c r="A28">
        <v>27</v>
      </c>
      <c r="B28" t="s">
        <v>14</v>
      </c>
      <c r="C28" t="s">
        <v>2</v>
      </c>
      <c r="D28" s="5">
        <v>214000</v>
      </c>
    </row>
    <row r="29" spans="1:4" x14ac:dyDescent="0.25">
      <c r="A29">
        <v>28</v>
      </c>
      <c r="B29" t="s">
        <v>1</v>
      </c>
      <c r="C29" t="s">
        <v>8</v>
      </c>
      <c r="D29" s="5">
        <v>213000</v>
      </c>
    </row>
    <row r="30" spans="1:4" x14ac:dyDescent="0.25">
      <c r="A30">
        <v>29</v>
      </c>
      <c r="B30" t="s">
        <v>8</v>
      </c>
      <c r="C30" t="s">
        <v>1</v>
      </c>
      <c r="D30" s="5">
        <v>213000</v>
      </c>
    </row>
    <row r="31" spans="1:4" x14ac:dyDescent="0.25">
      <c r="A31">
        <v>30</v>
      </c>
      <c r="B31" t="s">
        <v>8</v>
      </c>
      <c r="C31" t="s">
        <v>11</v>
      </c>
      <c r="D31" s="5">
        <v>212000</v>
      </c>
    </row>
    <row r="32" spans="1:4" x14ac:dyDescent="0.25">
      <c r="A32">
        <v>31</v>
      </c>
      <c r="B32" t="s">
        <v>15</v>
      </c>
      <c r="C32" t="s">
        <v>13</v>
      </c>
      <c r="D32" s="5">
        <v>212000</v>
      </c>
    </row>
    <row r="33" spans="1:4" x14ac:dyDescent="0.25">
      <c r="A33">
        <v>32</v>
      </c>
      <c r="B33" t="s">
        <v>11</v>
      </c>
      <c r="C33" t="s">
        <v>8</v>
      </c>
      <c r="D33" s="5">
        <v>212000</v>
      </c>
    </row>
    <row r="34" spans="1:4" x14ac:dyDescent="0.25">
      <c r="A34">
        <v>33</v>
      </c>
      <c r="B34" t="s">
        <v>13</v>
      </c>
      <c r="C34" t="s">
        <v>15</v>
      </c>
      <c r="D34" s="5">
        <v>212000</v>
      </c>
    </row>
    <row r="35" spans="1:4" x14ac:dyDescent="0.25">
      <c r="A35">
        <v>34</v>
      </c>
      <c r="B35" t="s">
        <v>2</v>
      </c>
      <c r="C35" t="s">
        <v>15</v>
      </c>
      <c r="D35" s="5">
        <v>211000</v>
      </c>
    </row>
    <row r="36" spans="1:4" x14ac:dyDescent="0.25">
      <c r="A36">
        <v>35</v>
      </c>
      <c r="B36" t="s">
        <v>15</v>
      </c>
      <c r="C36" t="s">
        <v>2</v>
      </c>
      <c r="D36" s="5">
        <v>211000</v>
      </c>
    </row>
    <row r="37" spans="1:4" x14ac:dyDescent="0.25">
      <c r="A37">
        <v>36</v>
      </c>
      <c r="B37" t="s">
        <v>8</v>
      </c>
      <c r="C37" t="s">
        <v>12</v>
      </c>
      <c r="D37" s="5">
        <v>210000</v>
      </c>
    </row>
    <row r="38" spans="1:4" x14ac:dyDescent="0.25">
      <c r="A38">
        <v>37</v>
      </c>
      <c r="B38" t="s">
        <v>12</v>
      </c>
      <c r="C38" t="s">
        <v>8</v>
      </c>
      <c r="D38" s="5">
        <v>210000</v>
      </c>
    </row>
    <row r="39" spans="1:4" x14ac:dyDescent="0.25">
      <c r="A39">
        <v>38</v>
      </c>
      <c r="B39" t="s">
        <v>0</v>
      </c>
      <c r="C39" t="s">
        <v>8</v>
      </c>
      <c r="D39" s="5">
        <v>209000</v>
      </c>
    </row>
    <row r="40" spans="1:4" x14ac:dyDescent="0.25">
      <c r="A40">
        <v>39</v>
      </c>
      <c r="B40" t="s">
        <v>8</v>
      </c>
      <c r="C40" t="s">
        <v>0</v>
      </c>
      <c r="D40" s="5">
        <v>209000</v>
      </c>
    </row>
    <row r="41" spans="1:4" x14ac:dyDescent="0.25">
      <c r="A41">
        <v>40</v>
      </c>
      <c r="B41" t="s">
        <v>7</v>
      </c>
      <c r="C41" t="s">
        <v>12</v>
      </c>
      <c r="D41" s="5">
        <v>202000</v>
      </c>
    </row>
    <row r="42" spans="1:4" x14ac:dyDescent="0.25">
      <c r="A42">
        <v>41</v>
      </c>
      <c r="B42" t="s">
        <v>12</v>
      </c>
      <c r="C42" t="s">
        <v>7</v>
      </c>
      <c r="D42" s="5">
        <v>202000</v>
      </c>
    </row>
    <row r="43" spans="1:4" x14ac:dyDescent="0.25">
      <c r="A43">
        <v>42</v>
      </c>
      <c r="B43" t="s">
        <v>7</v>
      </c>
      <c r="C43" t="s">
        <v>0</v>
      </c>
      <c r="D43" s="5">
        <v>201000</v>
      </c>
    </row>
    <row r="44" spans="1:4" x14ac:dyDescent="0.25">
      <c r="A44">
        <v>43</v>
      </c>
      <c r="B44" t="s">
        <v>18</v>
      </c>
      <c r="C44" t="s">
        <v>9</v>
      </c>
      <c r="D44" s="5">
        <v>199000</v>
      </c>
    </row>
    <row r="45" spans="1:4" x14ac:dyDescent="0.25">
      <c r="A45">
        <v>44</v>
      </c>
      <c r="B45" t="s">
        <v>9</v>
      </c>
      <c r="C45" t="s">
        <v>18</v>
      </c>
      <c r="D45" s="5">
        <v>199000</v>
      </c>
    </row>
    <row r="46" spans="1:4" x14ac:dyDescent="0.25">
      <c r="A46">
        <v>45</v>
      </c>
      <c r="B46" t="s">
        <v>9</v>
      </c>
      <c r="C46" t="s">
        <v>17</v>
      </c>
      <c r="D46" s="5">
        <v>199000</v>
      </c>
    </row>
    <row r="47" spans="1:4" x14ac:dyDescent="0.25">
      <c r="A47">
        <v>46</v>
      </c>
      <c r="B47" t="s">
        <v>17</v>
      </c>
      <c r="C47" t="s">
        <v>9</v>
      </c>
      <c r="D47" s="5">
        <v>199000</v>
      </c>
    </row>
    <row r="48" spans="1:4" x14ac:dyDescent="0.25">
      <c r="A48">
        <v>47</v>
      </c>
      <c r="B48" t="s">
        <v>7</v>
      </c>
      <c r="C48" t="s">
        <v>11</v>
      </c>
      <c r="D48" s="5">
        <v>198000</v>
      </c>
    </row>
    <row r="49" spans="1:4" x14ac:dyDescent="0.25">
      <c r="A49">
        <v>48</v>
      </c>
      <c r="B49" t="s">
        <v>11</v>
      </c>
      <c r="C49" t="s">
        <v>7</v>
      </c>
      <c r="D49" s="5">
        <v>198000</v>
      </c>
    </row>
    <row r="50" spans="1:4" x14ac:dyDescent="0.25">
      <c r="A50">
        <v>49</v>
      </c>
      <c r="B50" t="s">
        <v>1</v>
      </c>
      <c r="C50" t="s">
        <v>7</v>
      </c>
      <c r="D50" s="5">
        <v>196000</v>
      </c>
    </row>
    <row r="51" spans="1:4" x14ac:dyDescent="0.25">
      <c r="A51">
        <v>50</v>
      </c>
      <c r="B51" t="s">
        <v>19</v>
      </c>
      <c r="C51" t="s">
        <v>10</v>
      </c>
      <c r="D51" s="5">
        <v>196000</v>
      </c>
    </row>
    <row r="52" spans="1:4" x14ac:dyDescent="0.25">
      <c r="A52">
        <v>51</v>
      </c>
      <c r="B52" t="s">
        <v>7</v>
      </c>
      <c r="C52" t="s">
        <v>1</v>
      </c>
      <c r="D52" s="5">
        <v>196000</v>
      </c>
    </row>
    <row r="53" spans="1:4" x14ac:dyDescent="0.25">
      <c r="A53">
        <v>52</v>
      </c>
      <c r="B53" t="s">
        <v>10</v>
      </c>
      <c r="C53" t="s">
        <v>19</v>
      </c>
      <c r="D53" s="5">
        <v>196000</v>
      </c>
    </row>
    <row r="54" spans="1:4" x14ac:dyDescent="0.25">
      <c r="A54">
        <v>53</v>
      </c>
      <c r="B54" t="s">
        <v>18</v>
      </c>
      <c r="C54" t="s">
        <v>3</v>
      </c>
      <c r="D54" s="5">
        <v>194000</v>
      </c>
    </row>
    <row r="55" spans="1:4" x14ac:dyDescent="0.25">
      <c r="A55">
        <v>54</v>
      </c>
      <c r="B55" t="s">
        <v>3</v>
      </c>
      <c r="C55" t="s">
        <v>18</v>
      </c>
      <c r="D55" s="5">
        <v>194000</v>
      </c>
    </row>
    <row r="56" spans="1:4" x14ac:dyDescent="0.25">
      <c r="A56">
        <v>55</v>
      </c>
      <c r="B56" t="s">
        <v>3</v>
      </c>
      <c r="C56" t="s">
        <v>17</v>
      </c>
      <c r="D56" s="5">
        <v>194000</v>
      </c>
    </row>
    <row r="57" spans="1:4" x14ac:dyDescent="0.25">
      <c r="A57">
        <v>56</v>
      </c>
      <c r="B57" t="s">
        <v>17</v>
      </c>
      <c r="C57" t="s">
        <v>3</v>
      </c>
      <c r="D57" s="5">
        <v>194000</v>
      </c>
    </row>
    <row r="58" spans="1:4" x14ac:dyDescent="0.25">
      <c r="A58">
        <v>57</v>
      </c>
      <c r="B58" t="s">
        <v>19</v>
      </c>
      <c r="C58" t="s">
        <v>9</v>
      </c>
      <c r="D58" s="5">
        <v>187000</v>
      </c>
    </row>
    <row r="59" spans="1:4" x14ac:dyDescent="0.25">
      <c r="A59">
        <v>58</v>
      </c>
      <c r="B59" t="s">
        <v>9</v>
      </c>
      <c r="C59" t="s">
        <v>19</v>
      </c>
      <c r="D59" s="5">
        <v>187000</v>
      </c>
    </row>
    <row r="60" spans="1:4" x14ac:dyDescent="0.25">
      <c r="A60">
        <v>59</v>
      </c>
      <c r="B60" t="s">
        <v>4</v>
      </c>
      <c r="C60" t="s">
        <v>13</v>
      </c>
      <c r="D60" s="5">
        <v>173000</v>
      </c>
    </row>
    <row r="61" spans="1:4" x14ac:dyDescent="0.25">
      <c r="A61">
        <v>60</v>
      </c>
      <c r="B61" t="s">
        <v>13</v>
      </c>
      <c r="C61" t="s">
        <v>4</v>
      </c>
      <c r="D61" s="5">
        <v>173000</v>
      </c>
    </row>
    <row r="62" spans="1:4" x14ac:dyDescent="0.25">
      <c r="A62">
        <v>61</v>
      </c>
      <c r="B62" t="s">
        <v>2</v>
      </c>
      <c r="C62" t="s">
        <v>10</v>
      </c>
      <c r="D62" s="5">
        <v>172000</v>
      </c>
    </row>
    <row r="63" spans="1:4" x14ac:dyDescent="0.25">
      <c r="A63">
        <v>62</v>
      </c>
      <c r="B63" t="s">
        <v>10</v>
      </c>
      <c r="C63" t="s">
        <v>2</v>
      </c>
      <c r="D63" s="5">
        <v>172000</v>
      </c>
    </row>
    <row r="64" spans="1:4" x14ac:dyDescent="0.25">
      <c r="A64">
        <v>63</v>
      </c>
      <c r="B64" t="s">
        <v>16</v>
      </c>
      <c r="C64" t="s">
        <v>9</v>
      </c>
      <c r="D64" s="5">
        <v>171000</v>
      </c>
    </row>
    <row r="65" spans="1:4" x14ac:dyDescent="0.25">
      <c r="A65">
        <v>64</v>
      </c>
      <c r="B65" t="s">
        <v>2</v>
      </c>
      <c r="C65" t="s">
        <v>8</v>
      </c>
      <c r="D65" s="5">
        <v>171000</v>
      </c>
    </row>
    <row r="66" spans="1:4" x14ac:dyDescent="0.25">
      <c r="A66">
        <v>65</v>
      </c>
      <c r="B66" t="s">
        <v>8</v>
      </c>
      <c r="C66" t="s">
        <v>2</v>
      </c>
      <c r="D66" s="5">
        <v>171000</v>
      </c>
    </row>
    <row r="67" spans="1:4" x14ac:dyDescent="0.25">
      <c r="A67">
        <v>66</v>
      </c>
      <c r="B67" t="s">
        <v>9</v>
      </c>
      <c r="C67" t="s">
        <v>16</v>
      </c>
      <c r="D67" s="5">
        <v>171000</v>
      </c>
    </row>
    <row r="68" spans="1:4" x14ac:dyDescent="0.25">
      <c r="A68">
        <v>67</v>
      </c>
      <c r="B68" t="s">
        <v>0</v>
      </c>
      <c r="C68" t="s">
        <v>14</v>
      </c>
      <c r="D68" s="5">
        <v>170000</v>
      </c>
    </row>
    <row r="69" spans="1:4" x14ac:dyDescent="0.25">
      <c r="A69">
        <v>68</v>
      </c>
      <c r="B69" t="s">
        <v>14</v>
      </c>
      <c r="C69" t="s">
        <v>0</v>
      </c>
      <c r="D69" s="5">
        <v>170000</v>
      </c>
    </row>
    <row r="70" spans="1:4" x14ac:dyDescent="0.25">
      <c r="A70">
        <v>69</v>
      </c>
      <c r="B70" t="s">
        <v>2</v>
      </c>
      <c r="C70" t="s">
        <v>9</v>
      </c>
      <c r="D70" s="5">
        <v>169000</v>
      </c>
    </row>
    <row r="71" spans="1:4" x14ac:dyDescent="0.25">
      <c r="A71">
        <v>70</v>
      </c>
      <c r="B71" t="s">
        <v>9</v>
      </c>
      <c r="C71" t="s">
        <v>2</v>
      </c>
      <c r="D71" s="5">
        <v>169000</v>
      </c>
    </row>
    <row r="72" spans="1:4" x14ac:dyDescent="0.25">
      <c r="A72">
        <v>71</v>
      </c>
      <c r="B72" t="s">
        <v>7</v>
      </c>
      <c r="C72" t="s">
        <v>13</v>
      </c>
      <c r="D72" s="5">
        <v>168000</v>
      </c>
    </row>
    <row r="73" spans="1:4" x14ac:dyDescent="0.25">
      <c r="A73">
        <v>72</v>
      </c>
      <c r="B73" t="s">
        <v>13</v>
      </c>
      <c r="C73" t="s">
        <v>7</v>
      </c>
      <c r="D73" s="5">
        <v>168000</v>
      </c>
    </row>
    <row r="74" spans="1:4" x14ac:dyDescent="0.25">
      <c r="A74">
        <v>73</v>
      </c>
      <c r="B74" t="s">
        <v>1</v>
      </c>
      <c r="C74" t="s">
        <v>6</v>
      </c>
      <c r="D74" s="5">
        <v>167000</v>
      </c>
    </row>
    <row r="75" spans="1:4" x14ac:dyDescent="0.25">
      <c r="A75">
        <v>74</v>
      </c>
      <c r="B75" t="s">
        <v>2</v>
      </c>
      <c r="C75" t="s">
        <v>7</v>
      </c>
      <c r="D75" s="5">
        <v>167000</v>
      </c>
    </row>
    <row r="76" spans="1:4" x14ac:dyDescent="0.25">
      <c r="A76">
        <v>75</v>
      </c>
      <c r="B76" t="s">
        <v>7</v>
      </c>
      <c r="C76" t="s">
        <v>2</v>
      </c>
      <c r="D76" s="5">
        <v>167000</v>
      </c>
    </row>
    <row r="77" spans="1:4" x14ac:dyDescent="0.25">
      <c r="A77">
        <v>76</v>
      </c>
      <c r="B77" t="s">
        <v>6</v>
      </c>
      <c r="C77" t="s">
        <v>1</v>
      </c>
      <c r="D77" s="5">
        <v>167000</v>
      </c>
    </row>
    <row r="78" spans="1:4" x14ac:dyDescent="0.25">
      <c r="A78">
        <v>77</v>
      </c>
      <c r="B78" t="s">
        <v>8</v>
      </c>
      <c r="C78" t="s">
        <v>13</v>
      </c>
      <c r="D78" s="5">
        <v>167000</v>
      </c>
    </row>
    <row r="79" spans="1:4" x14ac:dyDescent="0.25">
      <c r="A79">
        <v>78</v>
      </c>
      <c r="B79" t="s">
        <v>15</v>
      </c>
      <c r="C79" t="s">
        <v>11</v>
      </c>
      <c r="D79" s="5">
        <v>167000</v>
      </c>
    </row>
    <row r="80" spans="1:4" x14ac:dyDescent="0.25">
      <c r="A80">
        <v>79</v>
      </c>
      <c r="B80" t="s">
        <v>15</v>
      </c>
      <c r="C80" t="s">
        <v>12</v>
      </c>
      <c r="D80" s="5">
        <v>167000</v>
      </c>
    </row>
    <row r="81" spans="1:4" x14ac:dyDescent="0.25">
      <c r="A81">
        <v>80</v>
      </c>
      <c r="B81" t="s">
        <v>11</v>
      </c>
      <c r="C81" t="s">
        <v>15</v>
      </c>
      <c r="D81" s="5">
        <v>167000</v>
      </c>
    </row>
    <row r="82" spans="1:4" x14ac:dyDescent="0.25">
      <c r="A82">
        <v>81</v>
      </c>
      <c r="B82" t="s">
        <v>12</v>
      </c>
      <c r="C82" t="s">
        <v>15</v>
      </c>
      <c r="D82" s="5">
        <v>167000</v>
      </c>
    </row>
    <row r="83" spans="1:4" x14ac:dyDescent="0.25">
      <c r="A83">
        <v>82</v>
      </c>
      <c r="B83" t="s">
        <v>13</v>
      </c>
      <c r="C83" t="s">
        <v>8</v>
      </c>
      <c r="D83" s="5">
        <v>167000</v>
      </c>
    </row>
  </sheetData>
  <sortState xmlns:xlrd2="http://schemas.microsoft.com/office/spreadsheetml/2017/richdata2" ref="B2:D83">
    <sortCondition descending="1" ref="D1:D8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Route Exists</vt:lpstr>
      <vt:lpstr>Band Jump Distances</vt:lpstr>
      <vt:lpstr>widest band crossing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Norman</dc:creator>
  <cp:lastModifiedBy>Drew Norman</cp:lastModifiedBy>
  <dcterms:created xsi:type="dcterms:W3CDTF">2025-12-28T08:44:53Z</dcterms:created>
  <dcterms:modified xsi:type="dcterms:W3CDTF">2025-12-28T22:52:27Z</dcterms:modified>
</cp:coreProperties>
</file>