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df5e7ceff0f2763/Documents/Business/PeaceFrog Gaming/Applications/Band Hopper/ref data/"/>
    </mc:Choice>
  </mc:AlternateContent>
  <xr:revisionPtr revIDLastSave="1" documentId="13_ncr:b_{652D5201-84F1-4C64-84CA-5595B0AAEB1B}" xr6:coauthVersionLast="47" xr6:coauthVersionMax="47" xr10:uidLastSave="{4134C1C0-53F7-485F-9A7A-94ADC1778C69}"/>
  <bookViews>
    <workbookView xWindow="38280" yWindow="5160" windowWidth="29040" windowHeight="16440" activeTab="1" xr2:uid="{E12DAEF5-95D6-472C-891D-D6469350F8D5}"/>
  </bookViews>
  <sheets>
    <sheet name="Route Exists" sheetId="1" r:id="rId1"/>
    <sheet name="Band Jump Distanc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" i="3" l="1"/>
  <c r="W2" i="1"/>
  <c r="X2" i="1" s="1"/>
</calcChain>
</file>

<file path=xl/sharedStrings.xml><?xml version="1.0" encoding="utf-8"?>
<sst xmlns="http://schemas.openxmlformats.org/spreadsheetml/2006/main" count="370" uniqueCount="39">
  <si>
    <t>ARC-L2</t>
  </si>
  <si>
    <t>ARC-L1</t>
  </si>
  <si>
    <t>ARC-L4</t>
  </si>
  <si>
    <t>CRU-L1</t>
  </si>
  <si>
    <t>CRU-L3</t>
  </si>
  <si>
    <t>CRU-L4</t>
  </si>
  <si>
    <t>CRU-L5</t>
  </si>
  <si>
    <t>CRUSADER</t>
  </si>
  <si>
    <t>HURSTON</t>
  </si>
  <si>
    <t>HUR-L1</t>
  </si>
  <si>
    <t>HUR-L2</t>
  </si>
  <si>
    <t>MIC-L1</t>
  </si>
  <si>
    <t>MIC-L2</t>
  </si>
  <si>
    <t>MIC-L5</t>
  </si>
  <si>
    <t>HUR-L5</t>
  </si>
  <si>
    <t>HUR-L4</t>
  </si>
  <si>
    <t>ARC-L3</t>
  </si>
  <si>
    <t>MICROTECH</t>
  </si>
  <si>
    <t>ARCCORP</t>
  </si>
  <si>
    <t>ARC-L5</t>
  </si>
  <si>
    <t>Y</t>
  </si>
  <si>
    <t>N</t>
  </si>
  <si>
    <t>Unique Locations</t>
  </si>
  <si>
    <t>BAND 1</t>
  </si>
  <si>
    <t>BAND 2</t>
  </si>
  <si>
    <t>BAND 3</t>
  </si>
  <si>
    <t>BAND 4</t>
  </si>
  <si>
    <t>BAND 5</t>
  </si>
  <si>
    <t>BAND 6</t>
  </si>
  <si>
    <t>BAND 7</t>
  </si>
  <si>
    <t>BAND 8</t>
  </si>
  <si>
    <t>BAND 9</t>
  </si>
  <si>
    <t>BAND 10</t>
  </si>
  <si>
    <t>Start</t>
  </si>
  <si>
    <t>Destination</t>
  </si>
  <si>
    <t>Unique Distances</t>
  </si>
  <si>
    <t>ARCL2</t>
  </si>
  <si>
    <t>TO</t>
  </si>
  <si>
    <t>FROM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</si>
</sst>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FBEBF-CF8F-4867-BC52-EE44196E11B0}">
  <dimension ref="A1:X21"/>
  <sheetViews>
    <sheetView workbookViewId="0">
      <pane xSplit="1" topLeftCell="B1" activePane="topRight" state="frozen"/>
      <selection pane="topRight" activeCell="J4" sqref="J4"/>
    </sheetView>
  </sheetViews>
  <sheetFormatPr defaultRowHeight="15" x14ac:dyDescent="0.25"/>
  <cols>
    <col min="1" max="1" width="11.28515625" bestFit="1" customWidth="1"/>
    <col min="2" max="21" width="10.85546875" style="1" customWidth="1"/>
    <col min="23" max="23" width="16.42578125" bestFit="1" customWidth="1"/>
    <col min="24" max="24" width="16.5703125" style="1" bestFit="1" customWidth="1"/>
  </cols>
  <sheetData>
    <row r="1" spans="1:24" x14ac:dyDescent="0.25">
      <c r="A1" s="3"/>
      <c r="B1" s="2" t="s">
        <v>18</v>
      </c>
      <c r="C1" s="2" t="s">
        <v>1</v>
      </c>
      <c r="D1" s="2" t="s">
        <v>0</v>
      </c>
      <c r="E1" s="2" t="s">
        <v>16</v>
      </c>
      <c r="F1" s="2" t="s">
        <v>2</v>
      </c>
      <c r="G1" s="2" t="s">
        <v>19</v>
      </c>
      <c r="H1" s="2" t="s">
        <v>7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8</v>
      </c>
      <c r="N1" s="2" t="s">
        <v>9</v>
      </c>
      <c r="O1" s="2" t="s">
        <v>10</v>
      </c>
      <c r="P1" s="2" t="s">
        <v>15</v>
      </c>
      <c r="Q1" s="2" t="s">
        <v>14</v>
      </c>
      <c r="R1" s="2" t="s">
        <v>17</v>
      </c>
      <c r="S1" s="2" t="s">
        <v>11</v>
      </c>
      <c r="T1" s="2" t="s">
        <v>12</v>
      </c>
      <c r="U1" s="2" t="s">
        <v>13</v>
      </c>
      <c r="W1" s="1" t="s">
        <v>22</v>
      </c>
      <c r="X1" s="1" t="s">
        <v>35</v>
      </c>
    </row>
    <row r="2" spans="1:24" x14ac:dyDescent="0.25">
      <c r="A2" s="3" t="s">
        <v>18</v>
      </c>
      <c r="B2" s="2" t="s">
        <v>21</v>
      </c>
      <c r="C2" s="2" t="s">
        <v>21</v>
      </c>
      <c r="D2" s="2" t="s">
        <v>21</v>
      </c>
      <c r="E2" s="2" t="s">
        <v>21</v>
      </c>
      <c r="F2" s="2" t="s">
        <v>21</v>
      </c>
      <c r="G2" s="2" t="s">
        <v>21</v>
      </c>
      <c r="H2" s="2" t="s">
        <v>21</v>
      </c>
      <c r="I2" s="2" t="s">
        <v>20</v>
      </c>
      <c r="J2" s="2" t="s">
        <v>21</v>
      </c>
      <c r="K2" s="2" t="s">
        <v>21</v>
      </c>
      <c r="L2" s="2" t="s">
        <v>21</v>
      </c>
      <c r="M2" s="2" t="s">
        <v>21</v>
      </c>
      <c r="N2" s="2" t="s">
        <v>20</v>
      </c>
      <c r="O2" s="2" t="s">
        <v>20</v>
      </c>
      <c r="P2" s="2" t="s">
        <v>21</v>
      </c>
      <c r="Q2" s="2" t="s">
        <v>21</v>
      </c>
      <c r="R2" s="2" t="s">
        <v>21</v>
      </c>
      <c r="S2" s="2" t="s">
        <v>20</v>
      </c>
      <c r="T2" s="2" t="s">
        <v>21</v>
      </c>
      <c r="U2" s="2" t="s">
        <v>21</v>
      </c>
      <c r="W2" s="1">
        <f>COUNTIF(B2:U21, "y")</f>
        <v>41</v>
      </c>
      <c r="X2" s="1">
        <f>W2*2</f>
        <v>82</v>
      </c>
    </row>
    <row r="3" spans="1:24" x14ac:dyDescent="0.25">
      <c r="A3" s="3" t="s">
        <v>1</v>
      </c>
      <c r="B3" s="2"/>
      <c r="C3" s="2" t="s">
        <v>21</v>
      </c>
      <c r="D3" s="2" t="s">
        <v>21</v>
      </c>
      <c r="E3" s="2" t="s">
        <v>21</v>
      </c>
      <c r="F3" s="2" t="s">
        <v>21</v>
      </c>
      <c r="G3" s="2" t="s">
        <v>21</v>
      </c>
      <c r="H3" s="2" t="s">
        <v>20</v>
      </c>
      <c r="I3" s="2" t="s">
        <v>21</v>
      </c>
      <c r="J3" s="2" t="s">
        <v>20</v>
      </c>
      <c r="K3" s="2" t="s">
        <v>20</v>
      </c>
      <c r="L3" s="2" t="s">
        <v>20</v>
      </c>
      <c r="M3" s="2" t="s">
        <v>20</v>
      </c>
      <c r="N3" s="2" t="s">
        <v>21</v>
      </c>
      <c r="O3" s="2" t="s">
        <v>21</v>
      </c>
      <c r="P3" s="2" t="s">
        <v>21</v>
      </c>
      <c r="Q3" s="2" t="s">
        <v>21</v>
      </c>
      <c r="R3" s="2" t="s">
        <v>21</v>
      </c>
      <c r="S3" s="2" t="s">
        <v>21</v>
      </c>
      <c r="T3" s="2" t="s">
        <v>21</v>
      </c>
      <c r="U3" s="2" t="s">
        <v>21</v>
      </c>
    </row>
    <row r="4" spans="1:24" x14ac:dyDescent="0.25">
      <c r="A4" s="3" t="s">
        <v>0</v>
      </c>
      <c r="B4" s="2"/>
      <c r="C4" s="2"/>
      <c r="D4" s="2" t="s">
        <v>21</v>
      </c>
      <c r="E4" s="2" t="s">
        <v>21</v>
      </c>
      <c r="F4" s="2" t="s">
        <v>21</v>
      </c>
      <c r="G4" s="2" t="s">
        <v>21</v>
      </c>
      <c r="H4" s="2" t="s">
        <v>20</v>
      </c>
      <c r="I4" s="2" t="s">
        <v>21</v>
      </c>
      <c r="J4" s="2" t="s">
        <v>21</v>
      </c>
      <c r="K4" s="2" t="s">
        <v>20</v>
      </c>
      <c r="L4" s="2" t="s">
        <v>21</v>
      </c>
      <c r="M4" s="2" t="s">
        <v>20</v>
      </c>
      <c r="N4" s="2" t="s">
        <v>21</v>
      </c>
      <c r="O4" s="2" t="s">
        <v>21</v>
      </c>
      <c r="P4" s="2" t="s">
        <v>21</v>
      </c>
      <c r="Q4" s="2" t="s">
        <v>20</v>
      </c>
      <c r="R4" s="2" t="s">
        <v>21</v>
      </c>
      <c r="S4" s="2" t="s">
        <v>21</v>
      </c>
      <c r="T4" s="2" t="s">
        <v>21</v>
      </c>
      <c r="U4" s="2" t="s">
        <v>21</v>
      </c>
    </row>
    <row r="5" spans="1:24" x14ac:dyDescent="0.25">
      <c r="A5" s="3" t="s">
        <v>16</v>
      </c>
      <c r="B5" s="2"/>
      <c r="C5" s="2"/>
      <c r="D5" s="2"/>
      <c r="E5" s="2" t="s">
        <v>21</v>
      </c>
      <c r="F5" s="2" t="s">
        <v>21</v>
      </c>
      <c r="G5" s="2" t="s">
        <v>21</v>
      </c>
      <c r="H5" s="2" t="s">
        <v>21</v>
      </c>
      <c r="I5" s="2" t="s">
        <v>20</v>
      </c>
      <c r="J5" s="2" t="s">
        <v>21</v>
      </c>
      <c r="K5" s="2" t="s">
        <v>21</v>
      </c>
      <c r="L5" s="2" t="s">
        <v>21</v>
      </c>
      <c r="M5" s="2" t="s">
        <v>21</v>
      </c>
      <c r="N5" s="2" t="s">
        <v>20</v>
      </c>
      <c r="O5" s="2" t="s">
        <v>21</v>
      </c>
      <c r="P5" s="2" t="s">
        <v>21</v>
      </c>
      <c r="Q5" s="2" t="s">
        <v>21</v>
      </c>
      <c r="R5" s="2" t="s">
        <v>21</v>
      </c>
      <c r="S5" s="2" t="s">
        <v>21</v>
      </c>
      <c r="T5" s="2" t="s">
        <v>21</v>
      </c>
      <c r="U5" s="2" t="s">
        <v>21</v>
      </c>
    </row>
    <row r="6" spans="1:24" x14ac:dyDescent="0.25">
      <c r="A6" s="3" t="s">
        <v>2</v>
      </c>
      <c r="B6" s="2"/>
      <c r="C6" s="2"/>
      <c r="D6" s="2"/>
      <c r="E6" s="2"/>
      <c r="F6" s="2" t="s">
        <v>21</v>
      </c>
      <c r="G6" s="2" t="s">
        <v>21</v>
      </c>
      <c r="H6" s="2" t="s">
        <v>20</v>
      </c>
      <c r="I6" s="2" t="s">
        <v>21</v>
      </c>
      <c r="J6" s="2" t="s">
        <v>21</v>
      </c>
      <c r="K6" s="2" t="s">
        <v>21</v>
      </c>
      <c r="L6" s="2" t="s">
        <v>21</v>
      </c>
      <c r="M6" s="2" t="s">
        <v>20</v>
      </c>
      <c r="N6" s="2" t="s">
        <v>20</v>
      </c>
      <c r="O6" s="2" t="s">
        <v>20</v>
      </c>
      <c r="P6" s="2" t="s">
        <v>20</v>
      </c>
      <c r="Q6" s="2" t="s">
        <v>20</v>
      </c>
      <c r="R6" s="2" t="s">
        <v>21</v>
      </c>
      <c r="S6" s="2" t="s">
        <v>21</v>
      </c>
      <c r="T6" s="2" t="s">
        <v>21</v>
      </c>
      <c r="U6" s="2" t="s">
        <v>21</v>
      </c>
    </row>
    <row r="7" spans="1:24" x14ac:dyDescent="0.25">
      <c r="A7" s="3" t="s">
        <v>19</v>
      </c>
      <c r="B7" s="2"/>
      <c r="C7" s="2"/>
      <c r="D7" s="2"/>
      <c r="E7" s="2"/>
      <c r="F7" s="2"/>
      <c r="G7" s="2" t="s">
        <v>21</v>
      </c>
      <c r="H7" s="2" t="s">
        <v>21</v>
      </c>
      <c r="I7" s="2" t="s">
        <v>20</v>
      </c>
      <c r="J7" s="2" t="s">
        <v>21</v>
      </c>
      <c r="K7" s="2" t="s">
        <v>21</v>
      </c>
      <c r="L7" s="2" t="s">
        <v>21</v>
      </c>
      <c r="M7" s="2" t="s">
        <v>21</v>
      </c>
      <c r="N7" s="2" t="s">
        <v>20</v>
      </c>
      <c r="O7" s="2" t="s">
        <v>20</v>
      </c>
      <c r="P7" s="2" t="s">
        <v>21</v>
      </c>
      <c r="Q7" s="2" t="s">
        <v>21</v>
      </c>
      <c r="R7" s="2" t="s">
        <v>21</v>
      </c>
      <c r="S7" s="2" t="s">
        <v>21</v>
      </c>
      <c r="T7" s="2" t="s">
        <v>21</v>
      </c>
      <c r="U7" s="2" t="s">
        <v>21</v>
      </c>
    </row>
    <row r="8" spans="1:24" x14ac:dyDescent="0.25">
      <c r="A8" s="3" t="s">
        <v>7</v>
      </c>
      <c r="B8" s="2"/>
      <c r="C8" s="2"/>
      <c r="D8" s="2"/>
      <c r="E8" s="2"/>
      <c r="F8" s="2"/>
      <c r="G8" s="2"/>
      <c r="H8" s="2" t="s">
        <v>21</v>
      </c>
      <c r="I8" s="2" t="s">
        <v>21</v>
      </c>
      <c r="J8" s="2" t="s">
        <v>21</v>
      </c>
      <c r="K8" s="2" t="s">
        <v>21</v>
      </c>
      <c r="L8" s="2" t="s">
        <v>21</v>
      </c>
      <c r="M8" s="2" t="s">
        <v>21</v>
      </c>
      <c r="N8" s="2" t="s">
        <v>21</v>
      </c>
      <c r="O8" s="2" t="s">
        <v>21</v>
      </c>
      <c r="P8" s="2" t="s">
        <v>21</v>
      </c>
      <c r="Q8" s="2" t="s">
        <v>21</v>
      </c>
      <c r="R8" s="2" t="s">
        <v>21</v>
      </c>
      <c r="S8" s="2" t="s">
        <v>20</v>
      </c>
      <c r="T8" s="2" t="s">
        <v>20</v>
      </c>
      <c r="U8" s="2" t="s">
        <v>20</v>
      </c>
    </row>
    <row r="9" spans="1:24" x14ac:dyDescent="0.25">
      <c r="A9" s="3" t="s">
        <v>3</v>
      </c>
      <c r="B9" s="2"/>
      <c r="C9" s="2"/>
      <c r="D9" s="2"/>
      <c r="E9" s="2"/>
      <c r="F9" s="2"/>
      <c r="G9" s="2"/>
      <c r="H9" s="2"/>
      <c r="I9" s="2" t="s">
        <v>21</v>
      </c>
      <c r="J9" s="2" t="s">
        <v>21</v>
      </c>
      <c r="K9" s="2" t="s">
        <v>21</v>
      </c>
      <c r="L9" s="2" t="s">
        <v>21</v>
      </c>
      <c r="M9" s="2" t="s">
        <v>21</v>
      </c>
      <c r="N9" s="2" t="s">
        <v>21</v>
      </c>
      <c r="O9" s="2" t="s">
        <v>21</v>
      </c>
      <c r="P9" s="2" t="s">
        <v>21</v>
      </c>
      <c r="Q9" s="2" t="s">
        <v>21</v>
      </c>
      <c r="R9" s="2" t="s">
        <v>20</v>
      </c>
      <c r="S9" s="2" t="s">
        <v>21</v>
      </c>
      <c r="T9" s="2" t="s">
        <v>21</v>
      </c>
      <c r="U9" s="2" t="s">
        <v>21</v>
      </c>
    </row>
    <row r="10" spans="1:24" x14ac:dyDescent="0.25">
      <c r="A10" s="3" t="s">
        <v>4</v>
      </c>
      <c r="B10" s="2"/>
      <c r="C10" s="2"/>
      <c r="D10" s="2"/>
      <c r="E10" s="2"/>
      <c r="F10" s="2"/>
      <c r="G10" s="2"/>
      <c r="H10" s="2"/>
      <c r="I10" s="2"/>
      <c r="J10" s="2" t="s">
        <v>21</v>
      </c>
      <c r="K10" s="2" t="s">
        <v>21</v>
      </c>
      <c r="L10" s="2" t="s">
        <v>21</v>
      </c>
      <c r="M10" s="2" t="s">
        <v>21</v>
      </c>
      <c r="N10" s="2" t="s">
        <v>21</v>
      </c>
      <c r="O10" s="2" t="s">
        <v>21</v>
      </c>
      <c r="P10" s="2" t="s">
        <v>21</v>
      </c>
      <c r="Q10" s="2" t="s">
        <v>21</v>
      </c>
      <c r="R10" s="2" t="s">
        <v>21</v>
      </c>
      <c r="S10" s="2" t="s">
        <v>21</v>
      </c>
      <c r="T10" s="2" t="s">
        <v>20</v>
      </c>
      <c r="U10" s="2" t="s">
        <v>20</v>
      </c>
    </row>
    <row r="11" spans="1:24" x14ac:dyDescent="0.25">
      <c r="A11" s="3" t="s">
        <v>5</v>
      </c>
      <c r="B11" s="2"/>
      <c r="C11" s="2"/>
      <c r="D11" s="2"/>
      <c r="E11" s="2"/>
      <c r="F11" s="2"/>
      <c r="G11" s="2"/>
      <c r="H11" s="2"/>
      <c r="I11" s="2"/>
      <c r="J11" s="2"/>
      <c r="K11" s="2" t="s">
        <v>21</v>
      </c>
      <c r="L11" s="2" t="s">
        <v>21</v>
      </c>
      <c r="M11" s="2" t="s">
        <v>21</v>
      </c>
      <c r="N11" s="2" t="s">
        <v>21</v>
      </c>
      <c r="O11" s="2" t="s">
        <v>21</v>
      </c>
      <c r="P11" s="2" t="s">
        <v>21</v>
      </c>
      <c r="Q11" s="2" t="s">
        <v>21</v>
      </c>
      <c r="R11" s="2" t="s">
        <v>21</v>
      </c>
      <c r="S11" s="2" t="s">
        <v>21</v>
      </c>
      <c r="T11" s="2" t="s">
        <v>21</v>
      </c>
      <c r="U11" s="2" t="s">
        <v>20</v>
      </c>
    </row>
    <row r="12" spans="1:24" x14ac:dyDescent="0.25">
      <c r="A12" s="3" t="s">
        <v>6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 t="s">
        <v>21</v>
      </c>
      <c r="M12" s="2" t="s">
        <v>21</v>
      </c>
      <c r="N12" s="2" t="s">
        <v>21</v>
      </c>
      <c r="O12" s="2" t="s">
        <v>21</v>
      </c>
      <c r="P12" s="2" t="s">
        <v>21</v>
      </c>
      <c r="Q12" s="2" t="s">
        <v>21</v>
      </c>
      <c r="R12" s="2" t="s">
        <v>21</v>
      </c>
      <c r="S12" s="2" t="s">
        <v>20</v>
      </c>
      <c r="T12" s="2" t="s">
        <v>20</v>
      </c>
      <c r="U12" s="2" t="s">
        <v>21</v>
      </c>
    </row>
    <row r="13" spans="1:24" x14ac:dyDescent="0.25">
      <c r="A13" s="3" t="s">
        <v>8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 t="s">
        <v>21</v>
      </c>
      <c r="N13" s="2" t="s">
        <v>21</v>
      </c>
      <c r="O13" s="2" t="s">
        <v>21</v>
      </c>
      <c r="P13" s="2" t="s">
        <v>21</v>
      </c>
      <c r="Q13" s="2" t="s">
        <v>21</v>
      </c>
      <c r="R13" s="2" t="s">
        <v>21</v>
      </c>
      <c r="S13" s="2" t="s">
        <v>20</v>
      </c>
      <c r="T13" s="2" t="s">
        <v>20</v>
      </c>
      <c r="U13" s="2" t="s">
        <v>20</v>
      </c>
    </row>
    <row r="14" spans="1:24" x14ac:dyDescent="0.25">
      <c r="A14" s="3" t="s">
        <v>9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 t="s">
        <v>21</v>
      </c>
      <c r="O14" s="2" t="s">
        <v>21</v>
      </c>
      <c r="P14" s="2" t="s">
        <v>21</v>
      </c>
      <c r="Q14" s="2" t="s">
        <v>21</v>
      </c>
      <c r="R14" s="2" t="s">
        <v>20</v>
      </c>
      <c r="S14" s="2" t="s">
        <v>21</v>
      </c>
      <c r="T14" s="2" t="s">
        <v>21</v>
      </c>
      <c r="U14" s="2" t="s">
        <v>21</v>
      </c>
    </row>
    <row r="15" spans="1:24" x14ac:dyDescent="0.25">
      <c r="A15" s="3" t="s">
        <v>10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 t="s">
        <v>21</v>
      </c>
      <c r="P15" s="2" t="s">
        <v>21</v>
      </c>
      <c r="Q15" s="2" t="s">
        <v>21</v>
      </c>
      <c r="R15" s="2" t="s">
        <v>20</v>
      </c>
      <c r="S15" s="2" t="s">
        <v>21</v>
      </c>
      <c r="T15" s="2" t="s">
        <v>21</v>
      </c>
      <c r="U15" s="2" t="s">
        <v>21</v>
      </c>
    </row>
    <row r="16" spans="1:24" x14ac:dyDescent="0.25">
      <c r="A16" s="3" t="s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 t="s">
        <v>21</v>
      </c>
      <c r="Q16" s="2" t="s">
        <v>21</v>
      </c>
      <c r="R16" s="2" t="s">
        <v>21</v>
      </c>
      <c r="S16" s="2" t="s">
        <v>20</v>
      </c>
      <c r="T16" s="2" t="s">
        <v>20</v>
      </c>
      <c r="U16" s="2" t="s">
        <v>20</v>
      </c>
    </row>
    <row r="17" spans="1:21" x14ac:dyDescent="0.25">
      <c r="A17" s="3" t="s">
        <v>14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 t="s">
        <v>21</v>
      </c>
      <c r="R17" s="2" t="s">
        <v>21</v>
      </c>
      <c r="S17" s="2" t="s">
        <v>21</v>
      </c>
      <c r="T17" s="2" t="s">
        <v>21</v>
      </c>
      <c r="U17" s="2" t="s">
        <v>21</v>
      </c>
    </row>
    <row r="18" spans="1:21" x14ac:dyDescent="0.25">
      <c r="A18" s="3" t="s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 t="s">
        <v>21</v>
      </c>
      <c r="S18" s="2" t="s">
        <v>21</v>
      </c>
      <c r="T18" s="2" t="s">
        <v>21</v>
      </c>
      <c r="U18" s="2" t="s">
        <v>21</v>
      </c>
    </row>
    <row r="19" spans="1:21" x14ac:dyDescent="0.25">
      <c r="A19" s="3" t="s">
        <v>11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 t="s">
        <v>21</v>
      </c>
      <c r="T19" s="2" t="s">
        <v>21</v>
      </c>
      <c r="U19" s="2" t="s">
        <v>21</v>
      </c>
    </row>
    <row r="20" spans="1:21" x14ac:dyDescent="0.25">
      <c r="A20" s="3" t="s">
        <v>12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 t="s">
        <v>21</v>
      </c>
      <c r="U20" s="2" t="s">
        <v>21</v>
      </c>
    </row>
    <row r="21" spans="1:21" x14ac:dyDescent="0.25">
      <c r="A21" s="3" t="s">
        <v>13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 t="s">
        <v>21</v>
      </c>
    </row>
  </sheetData>
  <phoneticPr fontId="1" type="noConversion"/>
  <conditionalFormatting sqref="B2:U22">
    <cfRule type="containsText" dxfId="3" priority="1" operator="containsText" text="Y">
      <formula>NOT(ISERROR(SEARCH("Y",B2)))</formula>
    </cfRule>
    <cfRule type="expression" dxfId="2" priority="3">
      <formula>"Y"</formula>
    </cfRule>
    <cfRule type="containsText" dxfId="1" priority="4" operator="containsText" text="N">
      <formula>NOT(ISERROR(SEARCH("N",B2)))</formula>
    </cfRule>
  </conditionalFormatting>
  <conditionalFormatting sqref="H3">
    <cfRule type="containsText" dxfId="0" priority="2" operator="containsText" text="Y">
      <formula>NOT(ISERROR(SEARCH("Y",H3)))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BB9FF-BDEE-4B43-B7D2-088EA4348EF3}">
  <dimension ref="B1:Q84"/>
  <sheetViews>
    <sheetView tabSelected="1" topLeftCell="A10" workbookViewId="0">
      <selection activeCell="O28" sqref="O28"/>
    </sheetView>
  </sheetViews>
  <sheetFormatPr defaultRowHeight="15" x14ac:dyDescent="0.25"/>
  <cols>
    <col min="2" max="2" width="11.28515625" bestFit="1" customWidth="1"/>
    <col min="3" max="3" width="11.140625" bestFit="1" customWidth="1"/>
    <col min="4" max="13" width="9" bestFit="1" customWidth="1"/>
    <col min="18" max="18" width="10.140625" bestFit="1" customWidth="1"/>
  </cols>
  <sheetData>
    <row r="1" spans="2:17" x14ac:dyDescent="0.25">
      <c r="B1" t="s">
        <v>33</v>
      </c>
      <c r="C1" t="s">
        <v>34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</row>
    <row r="2" spans="2:17" x14ac:dyDescent="0.25">
      <c r="B2" t="s">
        <v>18</v>
      </c>
      <c r="C2" t="s">
        <v>3</v>
      </c>
    </row>
    <row r="3" spans="2:17" x14ac:dyDescent="0.25">
      <c r="C3" t="s">
        <v>9</v>
      </c>
      <c r="Q3" t="s">
        <v>36</v>
      </c>
    </row>
    <row r="4" spans="2:17" x14ac:dyDescent="0.25">
      <c r="C4" t="s">
        <v>10</v>
      </c>
      <c r="Q4" t="s">
        <v>37</v>
      </c>
    </row>
    <row r="5" spans="2:17" x14ac:dyDescent="0.25">
      <c r="C5" t="s">
        <v>11</v>
      </c>
    </row>
    <row r="6" spans="2:17" x14ac:dyDescent="0.25">
      <c r="B6" t="s">
        <v>1</v>
      </c>
      <c r="C6" t="s">
        <v>7</v>
      </c>
      <c r="D6">
        <v>32477533</v>
      </c>
      <c r="E6">
        <v>32661536</v>
      </c>
      <c r="F6">
        <v>32824869</v>
      </c>
      <c r="G6">
        <v>33028998</v>
      </c>
      <c r="H6">
        <v>33207787</v>
      </c>
      <c r="I6">
        <v>33384898</v>
      </c>
      <c r="J6">
        <v>33608233</v>
      </c>
      <c r="K6">
        <v>33863390</v>
      </c>
      <c r="L6">
        <v>34096746</v>
      </c>
      <c r="M6">
        <v>34241481</v>
      </c>
      <c r="P6">
        <v>1</v>
      </c>
    </row>
    <row r="7" spans="2:17" x14ac:dyDescent="0.25">
      <c r="C7" t="s">
        <v>4</v>
      </c>
      <c r="D7">
        <v>10989473</v>
      </c>
      <c r="E7">
        <v>11446936</v>
      </c>
      <c r="F7">
        <v>11832950</v>
      </c>
      <c r="G7">
        <v>12293296</v>
      </c>
      <c r="H7">
        <v>12679383</v>
      </c>
      <c r="I7">
        <v>13048324</v>
      </c>
      <c r="J7">
        <v>13496942</v>
      </c>
      <c r="K7">
        <v>13989945</v>
      </c>
      <c r="L7">
        <v>14425115</v>
      </c>
      <c r="M7">
        <v>14688359</v>
      </c>
      <c r="P7">
        <v>2</v>
      </c>
    </row>
    <row r="8" spans="2:17" x14ac:dyDescent="0.25">
      <c r="C8" t="s">
        <v>5</v>
      </c>
      <c r="D8">
        <v>12744803</v>
      </c>
      <c r="E8">
        <v>13157847</v>
      </c>
      <c r="F8">
        <v>13510150</v>
      </c>
      <c r="G8">
        <v>13934165</v>
      </c>
      <c r="H8">
        <v>14292609</v>
      </c>
      <c r="I8">
        <v>14637246</v>
      </c>
      <c r="J8">
        <v>15058764</v>
      </c>
      <c r="K8">
        <v>15524706</v>
      </c>
      <c r="L8">
        <v>15938061</v>
      </c>
      <c r="M8">
        <v>16188952</v>
      </c>
      <c r="P8">
        <v>3</v>
      </c>
    </row>
    <row r="9" spans="2:17" x14ac:dyDescent="0.25">
      <c r="C9" t="s">
        <v>6</v>
      </c>
      <c r="D9">
        <v>38842891</v>
      </c>
      <c r="E9">
        <v>38997920</v>
      </c>
      <c r="F9">
        <v>39135946</v>
      </c>
      <c r="G9">
        <v>39308978</v>
      </c>
      <c r="H9">
        <v>39461005</v>
      </c>
      <c r="I9">
        <v>39612032</v>
      </c>
      <c r="J9">
        <v>39803066</v>
      </c>
      <c r="K9">
        <v>40022104</v>
      </c>
      <c r="L9">
        <v>40223137</v>
      </c>
      <c r="M9">
        <v>40348158</v>
      </c>
      <c r="P9">
        <v>4</v>
      </c>
    </row>
    <row r="10" spans="2:17" x14ac:dyDescent="0.25">
      <c r="C10" t="s">
        <v>8</v>
      </c>
      <c r="D10">
        <v>12680614</v>
      </c>
      <c r="E10">
        <v>12881847</v>
      </c>
      <c r="F10">
        <v>13060115</v>
      </c>
      <c r="G10">
        <v>13282453</v>
      </c>
      <c r="H10">
        <v>13476792</v>
      </c>
      <c r="I10">
        <v>13668952</v>
      </c>
      <c r="J10">
        <v>13910778</v>
      </c>
      <c r="K10">
        <v>14186429</v>
      </c>
      <c r="L10">
        <v>14437964</v>
      </c>
      <c r="M10">
        <v>14593715</v>
      </c>
      <c r="P10">
        <v>5</v>
      </c>
    </row>
    <row r="11" spans="2:17" x14ac:dyDescent="0.25">
      <c r="B11" t="s">
        <v>0</v>
      </c>
      <c r="C11" t="s">
        <v>7</v>
      </c>
      <c r="D11">
        <v>29835087</v>
      </c>
      <c r="E11">
        <v>30020198</v>
      </c>
      <c r="F11">
        <v>30183988</v>
      </c>
      <c r="G11">
        <v>30416953</v>
      </c>
      <c r="H11">
        <v>32090899</v>
      </c>
      <c r="I11">
        <v>32273873</v>
      </c>
      <c r="J11">
        <v>32503681</v>
      </c>
      <c r="K11">
        <v>32766911</v>
      </c>
      <c r="L11">
        <v>33005926</v>
      </c>
      <c r="M11">
        <v>33155143</v>
      </c>
      <c r="P11">
        <v>6</v>
      </c>
    </row>
    <row r="12" spans="2:17" x14ac:dyDescent="0.25">
      <c r="C12" t="s">
        <v>5</v>
      </c>
      <c r="D12">
        <v>8282791</v>
      </c>
      <c r="E12">
        <v>8819520</v>
      </c>
      <c r="F12">
        <v>9261296</v>
      </c>
      <c r="G12">
        <v>9384727</v>
      </c>
      <c r="H12">
        <v>10213088</v>
      </c>
      <c r="I12">
        <v>10619534</v>
      </c>
      <c r="J12">
        <v>11108954</v>
      </c>
      <c r="K12">
        <v>11641854</v>
      </c>
      <c r="L12">
        <v>12109387</v>
      </c>
      <c r="M12">
        <v>12389524</v>
      </c>
      <c r="P12">
        <v>7</v>
      </c>
    </row>
    <row r="13" spans="2:17" x14ac:dyDescent="0.25">
      <c r="C13" t="s">
        <v>8</v>
      </c>
      <c r="D13">
        <v>11591569</v>
      </c>
      <c r="E13">
        <v>11789853</v>
      </c>
      <c r="F13">
        <v>11964198</v>
      </c>
      <c r="G13">
        <v>12205207</v>
      </c>
      <c r="H13">
        <v>12373993</v>
      </c>
      <c r="I13">
        <v>12562456</v>
      </c>
      <c r="J13">
        <v>12801159</v>
      </c>
      <c r="K13">
        <v>13072050</v>
      </c>
      <c r="L13">
        <v>13320467</v>
      </c>
      <c r="M13">
        <v>13473594</v>
      </c>
      <c r="P13">
        <v>8</v>
      </c>
    </row>
    <row r="14" spans="2:17" x14ac:dyDescent="0.25">
      <c r="C14" t="s">
        <v>14</v>
      </c>
      <c r="D14">
        <v>7043371</v>
      </c>
      <c r="E14">
        <v>7201232</v>
      </c>
      <c r="F14">
        <v>7341201</v>
      </c>
      <c r="G14">
        <v>7536360</v>
      </c>
      <c r="H14">
        <v>7671815</v>
      </c>
      <c r="I14">
        <v>7825770</v>
      </c>
      <c r="J14">
        <v>8019481</v>
      </c>
      <c r="K14">
        <v>8242037</v>
      </c>
      <c r="L14">
        <v>8446266</v>
      </c>
      <c r="M14">
        <v>8573334</v>
      </c>
      <c r="P14">
        <v>9</v>
      </c>
    </row>
    <row r="15" spans="2:17" x14ac:dyDescent="0.25">
      <c r="B15" t="s">
        <v>16</v>
      </c>
      <c r="C15" t="s">
        <v>3</v>
      </c>
      <c r="P15">
        <v>10</v>
      </c>
    </row>
    <row r="16" spans="2:17" x14ac:dyDescent="0.25">
      <c r="C16" t="s">
        <v>9</v>
      </c>
    </row>
    <row r="17" spans="2:17" x14ac:dyDescent="0.25">
      <c r="B17" t="s">
        <v>2</v>
      </c>
      <c r="C17" t="s">
        <v>7</v>
      </c>
      <c r="Q17" t="s">
        <v>38</v>
      </c>
    </row>
    <row r="18" spans="2:17" x14ac:dyDescent="0.25">
      <c r="C18" t="s">
        <v>8</v>
      </c>
    </row>
    <row r="19" spans="2:17" x14ac:dyDescent="0.25">
      <c r="C19" t="s">
        <v>9</v>
      </c>
      <c r="P19">
        <v>1</v>
      </c>
    </row>
    <row r="20" spans="2:17" x14ac:dyDescent="0.25">
      <c r="C20" t="s">
        <v>10</v>
      </c>
      <c r="P20">
        <v>2</v>
      </c>
    </row>
    <row r="21" spans="2:17" x14ac:dyDescent="0.25">
      <c r="C21" t="s">
        <v>15</v>
      </c>
      <c r="P21">
        <v>3</v>
      </c>
    </row>
    <row r="22" spans="2:17" x14ac:dyDescent="0.25">
      <c r="C22" t="s">
        <v>14</v>
      </c>
      <c r="P22">
        <v>4</v>
      </c>
    </row>
    <row r="23" spans="2:17" x14ac:dyDescent="0.25">
      <c r="B23" t="s">
        <v>19</v>
      </c>
      <c r="C23" t="s">
        <v>3</v>
      </c>
      <c r="P23">
        <v>5</v>
      </c>
    </row>
    <row r="24" spans="2:17" x14ac:dyDescent="0.25">
      <c r="C24" t="s">
        <v>9</v>
      </c>
      <c r="P24">
        <v>6</v>
      </c>
    </row>
    <row r="25" spans="2:17" x14ac:dyDescent="0.25">
      <c r="C25" t="s">
        <v>10</v>
      </c>
      <c r="P25">
        <v>7</v>
      </c>
    </row>
    <row r="26" spans="2:17" x14ac:dyDescent="0.25">
      <c r="B26" t="s">
        <v>7</v>
      </c>
      <c r="C26" t="s">
        <v>1</v>
      </c>
      <c r="D26">
        <v>7173358</v>
      </c>
      <c r="E26">
        <v>6989355</v>
      </c>
      <c r="F26">
        <v>6826022</v>
      </c>
      <c r="G26">
        <v>6621894</v>
      </c>
      <c r="H26">
        <v>6443104</v>
      </c>
      <c r="I26">
        <v>6265993</v>
      </c>
      <c r="J26">
        <v>6042658</v>
      </c>
      <c r="K26">
        <v>5787501</v>
      </c>
      <c r="L26">
        <v>5554145</v>
      </c>
      <c r="M26">
        <v>5409410</v>
      </c>
      <c r="P26">
        <v>8</v>
      </c>
    </row>
    <row r="27" spans="2:17" x14ac:dyDescent="0.25">
      <c r="C27" t="s">
        <v>0</v>
      </c>
      <c r="D27">
        <v>13643681</v>
      </c>
      <c r="E27">
        <v>13458570</v>
      </c>
      <c r="F27">
        <v>13294910</v>
      </c>
      <c r="G27">
        <v>13061778</v>
      </c>
      <c r="H27">
        <v>12898644</v>
      </c>
      <c r="I27">
        <v>12715670</v>
      </c>
      <c r="J27">
        <v>12485862</v>
      </c>
      <c r="K27">
        <v>12222632</v>
      </c>
      <c r="L27">
        <v>11983618</v>
      </c>
      <c r="M27">
        <v>11834401</v>
      </c>
      <c r="O27">
        <f>D27-M27</f>
        <v>1809280</v>
      </c>
      <c r="P27">
        <v>9</v>
      </c>
    </row>
    <row r="28" spans="2:17" x14ac:dyDescent="0.25">
      <c r="C28" t="s">
        <v>2</v>
      </c>
      <c r="P28">
        <v>10</v>
      </c>
    </row>
    <row r="29" spans="2:17" x14ac:dyDescent="0.25">
      <c r="C29" t="s">
        <v>11</v>
      </c>
    </row>
    <row r="30" spans="2:17" x14ac:dyDescent="0.25">
      <c r="C30" t="s">
        <v>12</v>
      </c>
    </row>
    <row r="31" spans="2:17" x14ac:dyDescent="0.25">
      <c r="C31" t="s">
        <v>13</v>
      </c>
    </row>
    <row r="32" spans="2:17" x14ac:dyDescent="0.25">
      <c r="B32" t="s">
        <v>3</v>
      </c>
      <c r="C32" t="s">
        <v>18</v>
      </c>
    </row>
    <row r="33" spans="2:13" x14ac:dyDescent="0.25">
      <c r="C33" t="s">
        <v>16</v>
      </c>
    </row>
    <row r="34" spans="2:13" x14ac:dyDescent="0.25">
      <c r="C34" t="s">
        <v>19</v>
      </c>
    </row>
    <row r="35" spans="2:13" x14ac:dyDescent="0.25">
      <c r="C35" t="s">
        <v>17</v>
      </c>
    </row>
    <row r="36" spans="2:13" x14ac:dyDescent="0.25">
      <c r="B36" t="s">
        <v>4</v>
      </c>
      <c r="C36" t="s">
        <v>1</v>
      </c>
      <c r="D36">
        <v>11722536</v>
      </c>
      <c r="E36">
        <v>11265073</v>
      </c>
      <c r="F36">
        <v>10879059</v>
      </c>
      <c r="G36">
        <v>10418713</v>
      </c>
      <c r="H36">
        <v>10032626</v>
      </c>
      <c r="I36">
        <v>9663684</v>
      </c>
      <c r="J36">
        <v>9215066</v>
      </c>
      <c r="K36">
        <v>8722063</v>
      </c>
      <c r="L36">
        <v>8286894</v>
      </c>
      <c r="M36">
        <v>8023649</v>
      </c>
    </row>
    <row r="37" spans="2:13" x14ac:dyDescent="0.25">
      <c r="C37" t="s">
        <v>12</v>
      </c>
    </row>
    <row r="38" spans="2:13" x14ac:dyDescent="0.25">
      <c r="C38" t="s">
        <v>13</v>
      </c>
    </row>
    <row r="39" spans="2:13" x14ac:dyDescent="0.25">
      <c r="B39" t="s">
        <v>5</v>
      </c>
      <c r="C39" t="s">
        <v>1</v>
      </c>
      <c r="D39">
        <v>11256961</v>
      </c>
      <c r="E39">
        <v>10843917</v>
      </c>
      <c r="F39">
        <v>10491614</v>
      </c>
      <c r="G39">
        <v>10067599</v>
      </c>
      <c r="H39">
        <v>9709155</v>
      </c>
      <c r="I39">
        <v>9364518</v>
      </c>
      <c r="J39">
        <v>8943000</v>
      </c>
      <c r="K39">
        <v>8477058</v>
      </c>
      <c r="L39">
        <v>8063703</v>
      </c>
      <c r="M39">
        <v>7812812</v>
      </c>
    </row>
    <row r="40" spans="2:13" x14ac:dyDescent="0.25">
      <c r="C40" t="s">
        <v>0</v>
      </c>
      <c r="D40">
        <v>20117293</v>
      </c>
      <c r="E40">
        <v>19581064</v>
      </c>
      <c r="F40">
        <v>19139288</v>
      </c>
      <c r="G40">
        <v>18565856</v>
      </c>
      <c r="H40">
        <v>18187496</v>
      </c>
      <c r="I40">
        <v>17781049</v>
      </c>
      <c r="J40">
        <v>17291629</v>
      </c>
      <c r="K40">
        <v>16758730</v>
      </c>
      <c r="L40">
        <v>16291196</v>
      </c>
      <c r="M40">
        <v>16011059</v>
      </c>
    </row>
    <row r="41" spans="2:13" x14ac:dyDescent="0.25">
      <c r="C41" t="s">
        <v>13</v>
      </c>
    </row>
    <row r="42" spans="2:13" x14ac:dyDescent="0.25">
      <c r="B42" t="s">
        <v>6</v>
      </c>
      <c r="C42" t="s">
        <v>1</v>
      </c>
      <c r="D42">
        <v>6324828</v>
      </c>
      <c r="E42">
        <v>6169798</v>
      </c>
      <c r="F42">
        <v>6031773</v>
      </c>
      <c r="G42">
        <v>5858741</v>
      </c>
      <c r="H42">
        <v>5706713</v>
      </c>
      <c r="I42">
        <v>5555686</v>
      </c>
      <c r="J42">
        <v>5364653</v>
      </c>
      <c r="K42">
        <v>5145615</v>
      </c>
      <c r="L42">
        <v>4944581</v>
      </c>
      <c r="M42">
        <v>4819561</v>
      </c>
    </row>
    <row r="43" spans="2:13" x14ac:dyDescent="0.25">
      <c r="C43" t="s">
        <v>11</v>
      </c>
    </row>
    <row r="44" spans="2:13" x14ac:dyDescent="0.25">
      <c r="C44" t="s">
        <v>12</v>
      </c>
    </row>
    <row r="45" spans="2:13" x14ac:dyDescent="0.25">
      <c r="B45" t="s">
        <v>8</v>
      </c>
      <c r="C45" t="s">
        <v>1</v>
      </c>
      <c r="D45">
        <v>7630180</v>
      </c>
      <c r="E45">
        <v>7428947</v>
      </c>
      <c r="F45">
        <v>7250679</v>
      </c>
      <c r="G45">
        <v>7028341</v>
      </c>
      <c r="H45">
        <v>6834002</v>
      </c>
      <c r="I45">
        <v>6641842</v>
      </c>
      <c r="J45">
        <v>6400015</v>
      </c>
      <c r="K45">
        <v>6124364</v>
      </c>
      <c r="L45">
        <v>5872830</v>
      </c>
      <c r="M45">
        <v>5717079</v>
      </c>
    </row>
    <row r="46" spans="2:13" x14ac:dyDescent="0.25">
      <c r="C46" t="s">
        <v>0</v>
      </c>
      <c r="D46">
        <v>13932455</v>
      </c>
      <c r="E46">
        <v>13734171</v>
      </c>
      <c r="F46">
        <v>13559263</v>
      </c>
      <c r="G46">
        <v>13318817</v>
      </c>
      <c r="H46">
        <v>13150031</v>
      </c>
      <c r="I46">
        <v>12961568</v>
      </c>
      <c r="J46">
        <v>12722865</v>
      </c>
      <c r="K46">
        <v>12451974</v>
      </c>
      <c r="L46">
        <v>12203557</v>
      </c>
      <c r="M46">
        <v>12050430</v>
      </c>
    </row>
    <row r="47" spans="2:13" x14ac:dyDescent="0.25">
      <c r="C47" t="s">
        <v>2</v>
      </c>
    </row>
    <row r="48" spans="2:13" x14ac:dyDescent="0.25">
      <c r="C48" t="s">
        <v>11</v>
      </c>
    </row>
    <row r="49" spans="2:3" x14ac:dyDescent="0.25">
      <c r="C49" t="s">
        <v>12</v>
      </c>
    </row>
    <row r="50" spans="2:3" x14ac:dyDescent="0.25">
      <c r="C50" t="s">
        <v>13</v>
      </c>
    </row>
    <row r="51" spans="2:3" x14ac:dyDescent="0.25">
      <c r="B51" t="s">
        <v>9</v>
      </c>
      <c r="C51" t="s">
        <v>18</v>
      </c>
    </row>
    <row r="52" spans="2:3" x14ac:dyDescent="0.25">
      <c r="C52" t="s">
        <v>1</v>
      </c>
    </row>
    <row r="53" spans="2:3" x14ac:dyDescent="0.25">
      <c r="C53" t="s">
        <v>16</v>
      </c>
    </row>
    <row r="54" spans="2:3" x14ac:dyDescent="0.25">
      <c r="C54" t="s">
        <v>2</v>
      </c>
    </row>
    <row r="55" spans="2:3" x14ac:dyDescent="0.25">
      <c r="C55" t="s">
        <v>19</v>
      </c>
    </row>
    <row r="56" spans="2:3" x14ac:dyDescent="0.25">
      <c r="C56" t="s">
        <v>17</v>
      </c>
    </row>
    <row r="57" spans="2:3" x14ac:dyDescent="0.25">
      <c r="B57" t="s">
        <v>10</v>
      </c>
      <c r="C57" t="s">
        <v>18</v>
      </c>
    </row>
    <row r="58" spans="2:3" x14ac:dyDescent="0.25">
      <c r="C58" t="s">
        <v>2</v>
      </c>
    </row>
    <row r="59" spans="2:3" x14ac:dyDescent="0.25">
      <c r="C59" t="s">
        <v>19</v>
      </c>
    </row>
    <row r="60" spans="2:3" x14ac:dyDescent="0.25">
      <c r="C60" t="s">
        <v>17</v>
      </c>
    </row>
    <row r="61" spans="2:3" x14ac:dyDescent="0.25">
      <c r="B61" t="s">
        <v>15</v>
      </c>
      <c r="C61" t="s">
        <v>2</v>
      </c>
    </row>
    <row r="62" spans="2:3" x14ac:dyDescent="0.25">
      <c r="C62" t="s">
        <v>11</v>
      </c>
    </row>
    <row r="63" spans="2:3" x14ac:dyDescent="0.25">
      <c r="C63" t="s">
        <v>12</v>
      </c>
    </row>
    <row r="64" spans="2:3" x14ac:dyDescent="0.25">
      <c r="C64" t="s">
        <v>13</v>
      </c>
    </row>
    <row r="65" spans="2:13" x14ac:dyDescent="0.25">
      <c r="B65" t="s">
        <v>14</v>
      </c>
      <c r="C65" t="s">
        <v>0</v>
      </c>
      <c r="D65">
        <v>12240389</v>
      </c>
      <c r="E65">
        <v>12082529</v>
      </c>
      <c r="F65">
        <v>11942560</v>
      </c>
      <c r="G65">
        <v>11747400</v>
      </c>
      <c r="H65">
        <v>11611945</v>
      </c>
      <c r="I65">
        <v>11457990</v>
      </c>
      <c r="J65">
        <v>11264279</v>
      </c>
      <c r="K65">
        <v>11041724</v>
      </c>
      <c r="L65">
        <v>10837495</v>
      </c>
      <c r="M65">
        <v>10710426</v>
      </c>
    </row>
    <row r="66" spans="2:13" x14ac:dyDescent="0.25">
      <c r="C66" t="s">
        <v>2</v>
      </c>
    </row>
    <row r="67" spans="2:13" x14ac:dyDescent="0.25">
      <c r="B67" t="s">
        <v>17</v>
      </c>
      <c r="C67" t="s">
        <v>3</v>
      </c>
    </row>
    <row r="68" spans="2:13" x14ac:dyDescent="0.25">
      <c r="C68" t="s">
        <v>9</v>
      </c>
    </row>
    <row r="69" spans="2:13" x14ac:dyDescent="0.25">
      <c r="C69" t="s">
        <v>10</v>
      </c>
    </row>
    <row r="70" spans="2:13" x14ac:dyDescent="0.25">
      <c r="B70" t="s">
        <v>11</v>
      </c>
      <c r="C70" t="s">
        <v>18</v>
      </c>
    </row>
    <row r="71" spans="2:13" x14ac:dyDescent="0.25">
      <c r="C71" t="s">
        <v>7</v>
      </c>
    </row>
    <row r="72" spans="2:13" x14ac:dyDescent="0.25">
      <c r="C72" t="s">
        <v>6</v>
      </c>
    </row>
    <row r="73" spans="2:13" x14ac:dyDescent="0.25">
      <c r="C73" t="s">
        <v>8</v>
      </c>
    </row>
    <row r="74" spans="2:13" x14ac:dyDescent="0.25">
      <c r="C74" t="s">
        <v>15</v>
      </c>
    </row>
    <row r="75" spans="2:13" x14ac:dyDescent="0.25">
      <c r="B75" t="s">
        <v>12</v>
      </c>
      <c r="C75" t="s">
        <v>7</v>
      </c>
    </row>
    <row r="76" spans="2:13" x14ac:dyDescent="0.25">
      <c r="C76" t="s">
        <v>4</v>
      </c>
    </row>
    <row r="77" spans="2:13" x14ac:dyDescent="0.25">
      <c r="C77" t="s">
        <v>6</v>
      </c>
    </row>
    <row r="78" spans="2:13" x14ac:dyDescent="0.25">
      <c r="C78" t="s">
        <v>8</v>
      </c>
    </row>
    <row r="79" spans="2:13" x14ac:dyDescent="0.25">
      <c r="C79" t="s">
        <v>15</v>
      </c>
    </row>
    <row r="80" spans="2:13" x14ac:dyDescent="0.25">
      <c r="B80" t="s">
        <v>13</v>
      </c>
      <c r="C80" t="s">
        <v>7</v>
      </c>
    </row>
    <row r="81" spans="3:3" x14ac:dyDescent="0.25">
      <c r="C81" t="s">
        <v>4</v>
      </c>
    </row>
    <row r="82" spans="3:3" x14ac:dyDescent="0.25">
      <c r="C82" t="s">
        <v>5</v>
      </c>
    </row>
    <row r="83" spans="3:3" x14ac:dyDescent="0.25">
      <c r="C83" t="s">
        <v>8</v>
      </c>
    </row>
    <row r="84" spans="3:3" x14ac:dyDescent="0.25">
      <c r="C84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Route Exists</vt:lpstr>
      <vt:lpstr>Band Jump Distances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Drew Norman</dc:creator>
  <cp:lastModifiedBy>Drew Norman</cp:lastModifiedBy>
  <dcterms:created xsi:type="dcterms:W3CDTF">2025-12-28T08:44:53Z</dcterms:created>
  <dcterms:modified xsi:type="dcterms:W3CDTF">2025-12-28T11:18:00Z</dcterms:modified>
</cp:coreProperties>
</file>